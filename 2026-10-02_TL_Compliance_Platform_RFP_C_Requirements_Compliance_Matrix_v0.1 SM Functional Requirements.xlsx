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Business Development\Envision\Two labs compliance\"/>
    </mc:Choice>
  </mc:AlternateContent>
  <xr:revisionPtr revIDLastSave="0" documentId="8_{173B3C5B-94EB-408D-9C2F-2B6D9AFE08EC}" xr6:coauthVersionLast="47" xr6:coauthVersionMax="47" xr10:uidLastSave="{00000000-0000-0000-0000-000000000000}"/>
  <bookViews>
    <workbookView xWindow="-110" yWindow="-110" windowWidth="19420" windowHeight="11500" tabRatio="500" firstSheet="2" activeTab="2" xr2:uid="{00000000-000D-0000-FFFF-FFFF00000000}"/>
  </bookViews>
  <sheets>
    <sheet name="Instructions" sheetId="1" r:id="rId1"/>
    <sheet name="Response Summary" sheetId="2" r:id="rId2"/>
    <sheet name="Required Requirements" sheetId="3" r:id="rId3"/>
    <sheet name="NFR Confirmation" sheetId="4" r:id="rId4"/>
    <sheet name="Optional Capabilities" sheetId="5" r:id="rId5"/>
    <sheet name="Future &amp; Clarifications" sheetId="6" r:id="rId6"/>
    <sheet name="C1 One-time Costs" sheetId="7" r:id="rId7"/>
    <sheet name="C2 Recurring Costs" sheetId="8" r:id="rId8"/>
    <sheet name="C3 Staffing &amp; Rates" sheetId="9" r:id="rId9"/>
    <sheet name="C4 Usage Drivers" sheetId="10" r:id="rId10"/>
    <sheet name="C5 TCO Summary" sheetId="11" r:id="rId11"/>
    <sheet name="Assumptions" sheetId="12" r:id="rId12"/>
  </sheets>
  <definedNames>
    <definedName name="_xlnm._FilterDatabase" localSheetId="11" hidden="1">Assumptions!$A$6:$E$36</definedName>
    <definedName name="_xlnm._FilterDatabase" localSheetId="6" hidden="1">'C1 One-time Costs'!$A$6:$M$14</definedName>
    <definedName name="_xlnm._FilterDatabase" localSheetId="7" hidden="1">'C2 Recurring Costs'!$A$6:$L$16</definedName>
    <definedName name="_xlnm._FilterDatabase" localSheetId="8" hidden="1">'C3 Staffing &amp; Rates'!$A$6:$H$21</definedName>
    <definedName name="_xlnm._FilterDatabase" localSheetId="9" hidden="1">'C4 Usage Drivers'!$A$6:$G$16</definedName>
    <definedName name="_xlnm._FilterDatabase" localSheetId="10" hidden="1">'C5 TCO Summary'!$A$6:$C$11</definedName>
    <definedName name="_xlnm._FilterDatabase" localSheetId="5" hidden="1">'Future &amp; Clarifications'!$A$6:$H$28</definedName>
    <definedName name="_xlnm._FilterDatabase" localSheetId="3" hidden="1">'NFR Confirmation'!$A$6:$K$27</definedName>
    <definedName name="_xlnm._FilterDatabase" localSheetId="4" hidden="1">'Optional Capabilities'!$A$6:$N$77</definedName>
    <definedName name="_xlnm._FilterDatabase" localSheetId="2" hidden="1">'Required Requirements'!$A$6:$U$217</definedName>
    <definedName name="_xlnm._FilterDatabase" localSheetId="1" hidden="1">'Response Summary'!$A$6:$B$13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1" i="11" l="1"/>
  <c r="B10" i="11"/>
  <c r="E22" i="9"/>
  <c r="G21" i="9"/>
  <c r="G20" i="9"/>
  <c r="G19" i="9"/>
  <c r="G18" i="9"/>
  <c r="G17" i="9"/>
  <c r="G16" i="9"/>
  <c r="G15" i="9"/>
  <c r="G14" i="9"/>
  <c r="G13" i="9"/>
  <c r="G12" i="9"/>
  <c r="G11" i="9"/>
  <c r="G10" i="9"/>
  <c r="G9" i="9"/>
  <c r="G8" i="9"/>
  <c r="G7" i="9"/>
  <c r="G22" i="9" s="1"/>
  <c r="J17" i="8"/>
  <c r="I17" i="8"/>
  <c r="H17" i="8"/>
  <c r="G17" i="8"/>
  <c r="F17" i="8"/>
  <c r="K16" i="8"/>
  <c r="K15" i="8"/>
  <c r="K14" i="8"/>
  <c r="K13" i="8"/>
  <c r="K17" i="8" s="1"/>
  <c r="B8" i="11" s="1"/>
  <c r="K12" i="8"/>
  <c r="K11" i="8"/>
  <c r="K10" i="8"/>
  <c r="K9" i="8"/>
  <c r="K8" i="8"/>
  <c r="K7" i="8"/>
  <c r="J15" i="7"/>
  <c r="I15" i="7"/>
  <c r="H15" i="7"/>
  <c r="G15" i="7"/>
  <c r="F15" i="7"/>
  <c r="E15" i="7"/>
  <c r="D15" i="7"/>
  <c r="C15" i="7"/>
  <c r="K14" i="7"/>
  <c r="K13" i="7"/>
  <c r="K12" i="7"/>
  <c r="K11" i="7"/>
  <c r="K10" i="7"/>
  <c r="K9" i="7"/>
  <c r="K8" i="7"/>
  <c r="K7" i="7"/>
  <c r="K15" i="7" s="1"/>
  <c r="B7" i="11" s="1"/>
  <c r="B12" i="2"/>
  <c r="B11" i="2"/>
  <c r="B10" i="2"/>
  <c r="B9" i="2"/>
  <c r="B8" i="2"/>
  <c r="B7" i="2"/>
  <c r="B9" i="11" l="1"/>
</calcChain>
</file>

<file path=xl/sharedStrings.xml><?xml version="1.0" encoding="utf-8"?>
<sst xmlns="http://schemas.openxmlformats.org/spreadsheetml/2006/main" count="4793" uniqueCount="2153">
  <si>
    <t>ENVISION PHARMA GROUP  |  TWO LABS COMPLIANCE SERVICES</t>
  </si>
  <si>
    <t>Requirements Compliance Matrix and Commercial Schedules</t>
  </si>
  <si>
    <t>Two Labs Compliance Platform RFP · Draft v0.1 · 2 October 2026 · RFP reference [Procurement to confirm]</t>
  </si>
  <si>
    <t>DRAFT — NOT APPROVED FOR EXTERNAL DISTRIBUTION</t>
  </si>
  <si>
    <t>How to use this workbook</t>
  </si>
  <si>
    <t>Purple header columns describe the requirement. Dark-purple header columns, with shaded cells, are for the vendor's response. Do not change the requirement columns, row order or identifiers.</t>
  </si>
  <si>
    <t>Complete every shaded cell on the Required, NFR Confirmation, Optional, Future &amp; Clarifications and commercial sheets. Use the drop-down lists where provided.</t>
  </si>
  <si>
    <t>Status terms</t>
  </si>
  <si>
    <t>Required — in the base proposal and price.</t>
  </si>
  <si>
    <t>Required — respond with proposed baseline — Two Labs has not set a target; state the level your base price assumes and the cost of higher levels.</t>
  </si>
  <si>
    <t>Optional — price separately — propose and price separately from the base proposal.</t>
  </si>
  <si>
    <t>Future consideration — do not price; describe how the solution could support it later.</t>
  </si>
  <si>
    <t>Clarification — Two Labs will confirm; state the assumption your proposal makes.</t>
  </si>
  <si>
    <t>Compliance responses</t>
  </si>
  <si>
    <t>Fully supported — delivered within the base price with no development beyond configuration.</t>
  </si>
  <si>
    <t>Partially supported — partly met; explain the gap and any alternative.</t>
  </si>
  <si>
    <t>Requires development — met through development included in the price.</t>
  </si>
  <si>
    <t>Not supported — not met by the proposal.</t>
  </si>
  <si>
    <t>Clarification required — a question must be answered before you can respond.</t>
  </si>
  <si>
    <t>Acceptance criteria</t>
  </si>
  <si>
    <t>Proposed — criterion offered for confirmation. Draft — subject to confirmation — criterion will be finalised in discovery. To be agreed — no criterion yet; it will be agreed with the selected vendor.</t>
  </si>
  <si>
    <t>Commercial schedules</t>
  </si>
  <si>
    <t>Enter all prices in US dollars, excluding taxes. Show fixed and variable costs separately. The evaluation period for TCO is [Procurement to confirm: N years]; complete years beyond that period only if asked. State every assumption on the Assumptions sheet.</t>
  </si>
  <si>
    <t>Volume assumptions: use the indicative volumes in the Vendor Information Package, Section 4.5. Where you assume different volumes, show the cost effect separately.</t>
  </si>
  <si>
    <t>Example response row (format only — not a real response)</t>
  </si>
  <si>
    <t>SL-FR-002 Create licensing project · Compliance response: Fully supported · Delivery approach: Configuration · How met: Project record with a configurable list of project types · Limitations: Project types limited to those agreed in discovery · Alternative: none · Included in base price: Yes · Proposal section: 4.1</t>
  </si>
  <si>
    <t>Response summary (calculated)</t>
  </si>
  <si>
    <t>Counts update from the Required Requirements sheet.</t>
  </si>
  <si>
    <t>Compliance response</t>
  </si>
  <si>
    <t>Required requirements</t>
  </si>
  <si>
    <t>Fully supported</t>
  </si>
  <si>
    <t>Partially supported</t>
  </si>
  <si>
    <t>Requires development</t>
  </si>
  <si>
    <t>Not supported</t>
  </si>
  <si>
    <t>Clarification required</t>
  </si>
  <si>
    <t>Not yet answered</t>
  </si>
  <si>
    <t>Total required requirements</t>
  </si>
  <si>
    <t>Required requirements — functional, data and non-functional</t>
  </si>
  <si>
    <t>Base proposal scope. Complete the shaded response columns for every row.</t>
  </si>
  <si>
    <t>RFP ID</t>
  </si>
  <si>
    <t>Category</t>
  </si>
  <si>
    <t>Module</t>
  </si>
  <si>
    <t>Capability area</t>
  </si>
  <si>
    <t>Capability</t>
  </si>
  <si>
    <t>Requirement</t>
  </si>
  <si>
    <t>Description</t>
  </si>
  <si>
    <t>Business rationale</t>
  </si>
  <si>
    <t>Priority</t>
  </si>
  <si>
    <t>Business stage (where stated)</t>
  </si>
  <si>
    <t>Acceptance criterion status</t>
  </si>
  <si>
    <t>Acceptance criterion</t>
  </si>
  <si>
    <t>Dependencies</t>
  </si>
  <si>
    <t>Baseline ref (internal traceability)</t>
  </si>
  <si>
    <t>Delivery approach</t>
  </si>
  <si>
    <t>How the requirement is met</t>
  </si>
  <si>
    <t>Limitations and assumptions</t>
  </si>
  <si>
    <t>Proposed alternative</t>
  </si>
  <si>
    <t>Included in base price</t>
  </si>
  <si>
    <t>Proposal section ref</t>
  </si>
  <si>
    <t>SL-FR-001</t>
  </si>
  <si>
    <t>Functional</t>
  </si>
  <si>
    <t>State Licensing</t>
  </si>
  <si>
    <t>SL-01</t>
  </si>
  <si>
    <t>Client, company and project set-up</t>
  </si>
  <si>
    <t>Create client account and companies</t>
  </si>
  <si>
    <t>The solution shall allow an authorised internal user to create a client account and record within it each company (legal entity) that is to hold licences.</t>
  </si>
  <si>
    <t>Licensing work is organised by client, legal entity and project; staff currently configure this manually across several tools.</t>
  </si>
  <si>
    <t>Not yet set</t>
  </si>
  <si>
    <t>Draft — subject to confirmation</t>
  </si>
  <si>
    <t>An authorised internal user creates an account and two companies under it, and both companies are listed under that account.</t>
  </si>
  <si>
    <t>Initial client and project data load (see Section 7).</t>
  </si>
  <si>
    <t>FR1</t>
  </si>
  <si>
    <t>SL-FR-002</t>
  </si>
  <si>
    <t>Create licensing project</t>
  </si>
  <si>
    <t>The solution shall allow an authorised internal user to create a licensing project for a company.</t>
  </si>
  <si>
    <t>A project created for a company appears in that company's project list with its project type (for example initial licensing).</t>
  </si>
  <si>
    <t>FR2</t>
  </si>
  <si>
    <t>SL-FR-003</t>
  </si>
  <si>
    <t>Assign project staff</t>
  </si>
  <si>
    <t>The solution shall allow an authorised internal user to assign an account manager and a licensing analyst to a project.</t>
  </si>
  <si>
    <t>The assigned account manager and analyst are shown on the project and can access it.</t>
  </si>
  <si>
    <t>FR3</t>
  </si>
  <si>
    <t>SL-FR-004</t>
  </si>
  <si>
    <t>Reassign projects in bulk</t>
  </si>
  <si>
    <t>The solution shall allow an authorised internal user to change the staff assignment of multiple projects in one action.</t>
  </si>
  <si>
    <t>Selecting several projects and a new assignee updates the assignment on every selected project.</t>
  </si>
  <si>
    <t>FR4, FR150</t>
  </si>
  <si>
    <t>SL-FR-005</t>
  </si>
  <si>
    <t>Configure project states</t>
  </si>
  <si>
    <t>The solution shall allow an authorised internal user to set the states included in a project's filing plan.</t>
  </si>
  <si>
    <t>States added to a project are listed on that project.</t>
  </si>
  <si>
    <t>FR5</t>
  </si>
  <si>
    <t>SL-FR-006</t>
  </si>
  <si>
    <t>Show client the states applied for</t>
  </si>
  <si>
    <t>The solution shall display to the client the states for which applications are being made on its project.</t>
  </si>
  <si>
    <t>A client user viewing the project sees the same list of states configured internally.</t>
  </si>
  <si>
    <t>FR6</t>
  </si>
  <si>
    <t>SL-FR-007</t>
  </si>
  <si>
    <t>Select application forms per state</t>
  </si>
  <si>
    <t>The solution shall allow an authorised internal user to select, for each state in a project, the application form or forms that apply, including more than one form where the client's attributes require it.</t>
  </si>
  <si>
    <t>A state can carry two selected forms on one project, and both appear for preparation.</t>
  </si>
  <si>
    <t>FR7</t>
  </si>
  <si>
    <t>SL-FR-008</t>
  </si>
  <si>
    <t>Create project from existing project</t>
  </si>
  <si>
    <t>The solution shall allow an authorised internal user to create a new project by copying an existing project.</t>
  </si>
  <si>
    <t>A copied project contains the source project's configuration and can then be edited independently.</t>
  </si>
  <si>
    <t>FR8</t>
  </si>
  <si>
    <t>SL-FR-009</t>
  </si>
  <si>
    <t>SL-02</t>
  </si>
  <si>
    <t>Client intake questionnaire</t>
  </si>
  <si>
    <t>Intake questionnaire sections</t>
  </si>
  <si>
    <t>The solution shall present the client an intake questionnaire covering company information, licensed facility, officers and representatives, previous addresses, products and licensing contacts.</t>
  </si>
  <si>
    <t>Clients supply the information every state application depends on; incomplete or inconsistent intake is the main cause of delay.</t>
  </si>
  <si>
    <t>Proposed</t>
  </si>
  <si>
    <t>Each listed section is present and can be completed by a client user.</t>
  </si>
  <si>
    <t>Intake field definitions and validation rules supplied by Two Labs.</t>
  </si>
  <si>
    <t>FR9</t>
  </si>
  <si>
    <t>SL-FR-010</t>
  </si>
  <si>
    <t>Conditional intake sections</t>
  </si>
  <si>
    <t>The solution shall add an intake section for each conditional relationship the client confirms, including a contract manufacturer section and a third-party logistics provider section.</t>
  </si>
  <si>
    <t>Answering Yes to the contract-manufacturer question adds that section to the progress list; answering Yes to the third-party logistics question adds that section.</t>
  </si>
  <si>
    <t>FR10</t>
  </si>
  <si>
    <t>SL-FR-011</t>
  </si>
  <si>
    <t>Representative address history check</t>
  </si>
  <si>
    <t>The solution shall require ten years of address history for each representative and warn when a representative has less.</t>
  </si>
  <si>
    <t>A representative with less than ten years of address history produces an intake warning (for example "n representatives have insufficient residence time").</t>
  </si>
  <si>
    <t>FR11</t>
  </si>
  <si>
    <t>SL-FR-012</t>
  </si>
  <si>
    <t>Authorised and designated representative check</t>
  </si>
  <si>
    <t>The solution shall warn when an intake does not contain exactly one authorised representative and exactly one designated representative.</t>
  </si>
  <si>
    <t>An intake with zero authorised (or designated) representatives shows a warning with the current count; an intake with two produces the same warning.</t>
  </si>
  <si>
    <t>FR12</t>
  </si>
  <si>
    <t>SL-FR-013</t>
  </si>
  <si>
    <t>Intake completeness and validation feedback</t>
  </si>
  <si>
    <t>The solution shall show the completion state of each intake section and list outstanding warnings and validation errors for the intake.</t>
  </si>
  <si>
    <t>Each section shows complete or incomplete; an intake with an incomplete section shows "not all sections are complete" and a summary of validation errors.</t>
  </si>
  <si>
    <t>FR13</t>
  </si>
  <si>
    <t>SL-FR-014</t>
  </si>
  <si>
    <t>Submit and lock intake</t>
  </si>
  <si>
    <t>The solution shall allow the client to submit a completed intake, after which the intake is locked for application preparation.</t>
  </si>
  <si>
    <t>After submission the client cannot edit the intake unless staff unlock it.</t>
  </si>
  <si>
    <t>FR14</t>
  </si>
  <si>
    <t>SL-FR-015</t>
  </si>
  <si>
    <t>Staff entry on client's behalf</t>
  </si>
  <si>
    <t>The solution shall allow internal staff to enter and update intake data on the client's behalf.</t>
  </si>
  <si>
    <t>Stage 1</t>
  </si>
  <si>
    <t>An account manager edits an intake field for a client project and the value is saved to that client's intake.</t>
  </si>
  <si>
    <t>FR15</t>
  </si>
  <si>
    <t>SL-FR-016</t>
  </si>
  <si>
    <t>Configure required intake fields per project</t>
  </si>
  <si>
    <t>The solution shall allow an account manager to set which intake fields are required or optional for a specific project.</t>
  </si>
  <si>
    <t>A field marked optional on one project no longer blocks completeness on that project while remaining required on others.</t>
  </si>
  <si>
    <t>FR16</t>
  </si>
  <si>
    <t>SL-FR-017</t>
  </si>
  <si>
    <t>Extended ownership levels</t>
  </si>
  <si>
    <t>The solution shall capture company ownership up to grandparent and great-grandparent company levels.</t>
  </si>
  <si>
    <t>A client can record a parent, grandparent and great-grandparent company for a licensed entity.</t>
  </si>
  <si>
    <t>FR17</t>
  </si>
  <si>
    <t>SL-FR-018</t>
  </si>
  <si>
    <t>Restrict viewing of officer information</t>
  </si>
  <si>
    <t>The solution shall allow client-side access to officer information to be limited to designated client users.</t>
  </si>
  <si>
    <t>A client user without the officer-information permission cannot see officer personal details.</t>
  </si>
  <si>
    <t>FR18, FR153, DR4, NFR13</t>
  </si>
  <si>
    <t>SL-FR-019</t>
  </si>
  <si>
    <t>SL-03</t>
  </si>
  <si>
    <t>Licence, application and document determination</t>
  </si>
  <si>
    <t>Determine licences per state</t>
  </si>
  <si>
    <t>The solution shall determine, from a client's activities, distribution model and home state, the licence types the client needs in each state.</t>
  </si>
  <si>
    <t>Working out which licences, forms and documents a client needs is currently manual spreadsheet work; staff estimate about two hours per client.</t>
  </si>
  <si>
    <t>For a defined client profile (for example a virtual manufacturer in one home state), the determined licence types per state match the current filing-plan resource.</t>
  </si>
  <si>
    <t>Determination logic and reference content provided by Two Labs subject-matter experts (Section 7).</t>
  </si>
  <si>
    <t>FR19</t>
  </si>
  <si>
    <t>SL-FR-020</t>
  </si>
  <si>
    <t>Determine applications per state</t>
  </si>
  <si>
    <t>The solution shall determine the application form or forms required in each state from the client's attributes.</t>
  </si>
  <si>
    <t>For a defined client profile, the determined forms per state match those an analyst selects today.</t>
  </si>
  <si>
    <t>FR20</t>
  </si>
  <si>
    <t>SL-FR-021</t>
  </si>
  <si>
    <t>Determine required documents</t>
  </si>
  <si>
    <t>The solution shall determine the supporting documents a client must provide from its attributes, including sampling, use of a third-party logistics provider, use of a contract manufacturer, foreign status and home state.</t>
  </si>
  <si>
    <t>For a defined client profile, the determined document list matches the list built from the current document-mapping resource.</t>
  </si>
  <si>
    <t>FR21</t>
  </si>
  <si>
    <t>SL-FR-022</t>
  </si>
  <si>
    <t>Staff review of determined requirements</t>
  </si>
  <si>
    <t>The solution shall allow an analyst to review and amend the determined licences, applications and documents before they are applied to the client's project.</t>
  </si>
  <si>
    <t>An analyst can remove or add a determined item, and only the reviewed set is applied to the project.</t>
  </si>
  <si>
    <t>FR22</t>
  </si>
  <si>
    <t>SL-FR-023</t>
  </si>
  <si>
    <t>Maintain determination rules</t>
  </si>
  <si>
    <t>The solution shall allow authorised internal users to maintain the rules and reference content (project traits, regulations, regulators, state-specific requirements) that drive licence, application and document determination.</t>
  </si>
  <si>
    <t>A change to a rule by an authorised user changes the determination for the next project evaluated.</t>
  </si>
  <si>
    <t>FR23</t>
  </si>
  <si>
    <t>SL-FR-024</t>
  </si>
  <si>
    <t>SL-04</t>
  </si>
  <si>
    <t>Document checklist and collection</t>
  </si>
  <si>
    <t>Project document checklist</t>
  </si>
  <si>
    <t>The solution shall present the client a checklist of the documents required for its project.</t>
  </si>
  <si>
    <t>Clients upload supporting documents against a project-specific list; staff need clear visibility of what is outstanding.</t>
  </si>
  <si>
    <t>Each required document for the project appears as a checklist item visible to the client.</t>
  </si>
  <si>
    <t>Document-requirement reference data (SL-03).</t>
  </si>
  <si>
    <t>FR24</t>
  </si>
  <si>
    <t>SL-FR-025</t>
  </si>
  <si>
    <t>Upload against checklist item</t>
  </si>
  <si>
    <t>The solution shall allow the client to upload a document against a checklist item.</t>
  </si>
  <si>
    <t>An uploaded file is attached to the selected checklist item and the item shows as received.</t>
  </si>
  <si>
    <t>FR25</t>
  </si>
  <si>
    <t>SL-FR-026</t>
  </si>
  <si>
    <t>Checklist progress</t>
  </si>
  <si>
    <t>The solution shall show the number and percentage of checklist items completed for each document group.</t>
  </si>
  <si>
    <t>A group shows "n / N completed" and a matching progress percentage.</t>
  </si>
  <si>
    <t>FR26</t>
  </si>
  <si>
    <t>SL-FR-027</t>
  </si>
  <si>
    <t>Edit an existing project's checklist</t>
  </si>
  <si>
    <t>The solution shall allow internal staff to add a newly required document to, or remove a non-applicable document from, an existing project's checklist.</t>
  </si>
  <si>
    <t>A document added by staff appears on the client's checklist; a removed document no longer appears.</t>
  </si>
  <si>
    <t>FR27</t>
  </si>
  <si>
    <t>SL-FR-028</t>
  </si>
  <si>
    <t>Document upload timestamp</t>
  </si>
  <si>
    <t>The solution shall record and display the date and time each document was uploaded.</t>
  </si>
  <si>
    <t>Each uploaded document shows its upload date and time.</t>
  </si>
  <si>
    <t>FR28</t>
  </si>
  <si>
    <t>SL-FR-029</t>
  </si>
  <si>
    <t>Bulk document upload without tagging</t>
  </si>
  <si>
    <t>The solution shall allow the client to upload multiple documents in one action without assigning each to a document name.</t>
  </si>
  <si>
    <t>Clients currently have to tag every upload to a document name, which adds effort and errors.</t>
  </si>
  <si>
    <t>A client uploads several untagged files in one action and all are accepted.</t>
  </si>
  <si>
    <t>FR29</t>
  </si>
  <si>
    <t>SL-FR-030</t>
  </si>
  <si>
    <t>Place bulk-uploaded documents</t>
  </si>
  <si>
    <t>The solution shall place each bulk-uploaded document against the checklist requirement it satisfies.</t>
  </si>
  <si>
    <t>For a test set of untagged documents, each is placed against the correct checklist item.</t>
  </si>
  <si>
    <t>FR30</t>
  </si>
  <si>
    <t>SL-FR-031</t>
  </si>
  <si>
    <t>SL-05</t>
  </si>
  <si>
    <t>Application form mapping and generation</t>
  </si>
  <si>
    <t>Map intake data to application forms</t>
  </si>
  <si>
    <t>The solution shall allow authorised internal users to map intake data fields to the fields of a state application form.</t>
  </si>
  <si>
    <t>State application forms are populated from intake data to avoid re-keying; forms change regularly and are published by state boards outside Two Labs' control.</t>
  </si>
  <si>
    <t>A mapped intake field appears in the corresponding field of the generated form.</t>
  </si>
  <si>
    <t>State-published application forms; monthly form-currency checks.</t>
  </si>
  <si>
    <t>FR31</t>
  </si>
  <si>
    <t>SL-FR-032</t>
  </si>
  <si>
    <t>Generate completed applications</t>
  </si>
  <si>
    <t>The solution shall generate completed state application documents populated from the client's intake data.</t>
  </si>
  <si>
    <t>For a completed intake, each selected form is generated with every mapped field populated from intake.</t>
  </si>
  <si>
    <t>FR32</t>
  </si>
  <si>
    <t>SL-FR-033</t>
  </si>
  <si>
    <t>Maintain current state form versions</t>
  </si>
  <si>
    <t>The solution shall allow authorised internal users to replace or update a state application form when the state issues a new version, without re-creating its existing configuration.</t>
  </si>
  <si>
    <t>After a form is updated, projects use the new version and its existing field details are retained.</t>
  </si>
  <si>
    <t>FR33</t>
  </si>
  <si>
    <t>SL-FR-034</t>
  </si>
  <si>
    <t>Detect new state form versions</t>
  </si>
  <si>
    <t>The solution shall identify when a state has published an application form that differs from the version held.</t>
  </si>
  <si>
    <t>To be agreed</t>
  </si>
  <si>
    <t>To be agreed during discovery</t>
  </si>
  <si>
    <t>FR34</t>
  </si>
  <si>
    <t>SL-FR-035</t>
  </si>
  <si>
    <t>Map newly added forms automatically</t>
  </si>
  <si>
    <t>The solution shall map the fields of a newly added state application form to existing intake fields automatically.</t>
  </si>
  <si>
    <t>FR35</t>
  </si>
  <si>
    <t>SL-FR-036</t>
  </si>
  <si>
    <t>Generate supplementary documents from intake</t>
  </si>
  <si>
    <t>The solution shall generate supplementary documents from intake data, such as officer lists and descriptions of operations, for client review.</t>
  </si>
  <si>
    <t>An officer list generated from intake lists every officer recorded and is available to the client for review.</t>
  </si>
  <si>
    <t>FR36</t>
  </si>
  <si>
    <t>SL-FR-037</t>
  </si>
  <si>
    <t>Configure mapped value formatting</t>
  </si>
  <si>
    <t>The solution shall allow authorised internal users to set how a mapped value is rendered on a form, including abbreviating state names and fitting text that exceeds the field.</t>
  </si>
  <si>
    <t>A state value mapped as abbreviated renders as the two-letter code; an over-long value fits within its field.</t>
  </si>
  <si>
    <t>FR37</t>
  </si>
  <si>
    <t>SL-FR-038</t>
  </si>
  <si>
    <t>Restrict form editing and mapping</t>
  </si>
  <si>
    <t>The solution shall restrict editing of form definitions and mappings to authorised internal roles.</t>
  </si>
  <si>
    <t>A licensing user without the form-administration permission cannot edit a form or its mapping.</t>
  </si>
  <si>
    <t>FR38, FR154</t>
  </si>
  <si>
    <t>SL-FR-039</t>
  </si>
  <si>
    <t>SL-06</t>
  </si>
  <si>
    <t>Client application review, approval and download</t>
  </si>
  <si>
    <t>Release prepared application for client review</t>
  </si>
  <si>
    <t>The solution shall allow internal staff to make a prepared application available to the client for review.</t>
  </si>
  <si>
    <t>Clients must review and approve applications before signature and filing; the current download experience is cumbersome.</t>
  </si>
  <si>
    <t>A released application appears in the client's list of applications under review; an unreleased one does not.</t>
  </si>
  <si>
    <t>SL-05 generated applications.</t>
  </si>
  <si>
    <t>FR39</t>
  </si>
  <si>
    <t>SL-FR-040</t>
  </si>
  <si>
    <t>Download application</t>
  </si>
  <si>
    <t>The solution shall allow the client to download each application under review.</t>
  </si>
  <si>
    <t>The client downloads the application as a document file from its review page.</t>
  </si>
  <si>
    <t>FR40</t>
  </si>
  <si>
    <t>SL-FR-041</t>
  </si>
  <si>
    <t>Comment on application</t>
  </si>
  <si>
    <t>The solution shall allow the client to post comments on an application under review.</t>
  </si>
  <si>
    <t>A posted comment appears in the application's discussion.</t>
  </si>
  <si>
    <t>FR41</t>
  </si>
  <si>
    <t>SL-FR-042</t>
  </si>
  <si>
    <t>Set application review status</t>
  </si>
  <si>
    <t>The solution shall allow the client to set each application under review to "Needs Revision" or "Approved".</t>
  </si>
  <si>
    <t>The status choices are Needs Revision and Approved, and the saved status is visible to staff.</t>
  </si>
  <si>
    <t>FR42</t>
  </si>
  <si>
    <t>SL-FR-043</t>
  </si>
  <si>
    <t>Send applications for review in bulk</t>
  </si>
  <si>
    <t>The solution shall allow internal staff to release multiple applications for client review in one action.</t>
  </si>
  <si>
    <t>Selecting several prepared applications releases all of them to the client's review list.</t>
  </si>
  <si>
    <t>FR43</t>
  </si>
  <si>
    <t>SL-FR-044</t>
  </si>
  <si>
    <t>Download issued licences</t>
  </si>
  <si>
    <t>The solution shall allow the client to download its issued licences.</t>
  </si>
  <si>
    <t>An issued licence stored for the client can be downloaded by a client user.</t>
  </si>
  <si>
    <t>FR44</t>
  </si>
  <si>
    <t>SL-FR-045</t>
  </si>
  <si>
    <t>SL-07</t>
  </si>
  <si>
    <t>Client licence status dashboard</t>
  </si>
  <si>
    <t>Client licence and application status view</t>
  </si>
  <si>
    <t>The solution shall show the client the current status of each of its licences and applications.</t>
  </si>
  <si>
    <t>Clients want an at-a-glance view of licence status, upcoming renewals and expiring documents without contacting their account manager.</t>
  </si>
  <si>
    <t>Each licence and application for the client appears with its current status.</t>
  </si>
  <si>
    <t>Licence, renewal and document data (SL-08, SL-10, SL-04).</t>
  </si>
  <si>
    <t>FR45</t>
  </si>
  <si>
    <t>SL-FR-046</t>
  </si>
  <si>
    <t>Client view of upcoming renewals</t>
  </si>
  <si>
    <t>The solution shall show the client its upcoming licence renewals with their due dates.</t>
  </si>
  <si>
    <t>A licence with a renewal due within a set window appears with its due date.</t>
  </si>
  <si>
    <t>FR46</t>
  </si>
  <si>
    <t>SL-FR-047</t>
  </si>
  <si>
    <t>Client view of items coming due</t>
  </si>
  <si>
    <t>The solution shall show the client the items it must act on that are coming due.</t>
  </si>
  <si>
    <t>FR47</t>
  </si>
  <si>
    <t>SL-FR-048</t>
  </si>
  <si>
    <t>Client view of expiring documents</t>
  </si>
  <si>
    <t>The solution shall show the client documents that have expired or may be about to expire.</t>
  </si>
  <si>
    <t>A document whose expiry date has passed or falls within a set window is flagged on the client's view.</t>
  </si>
  <si>
    <t>FR48</t>
  </si>
  <si>
    <t>SL-FR-049</t>
  </si>
  <si>
    <t>SL-08</t>
  </si>
  <si>
    <t>Licence lifecycle and task tracking</t>
  </si>
  <si>
    <t>Licence tracking record</t>
  </si>
  <si>
    <t>The solution shall maintain one tracking record for each managed licence, linked to its client, company, state and licence type.</t>
  </si>
  <si>
    <t>Around 10,000 managed licences are tracked today in a general-purpose task tool used beyond its intended purpose; history must be retained.</t>
  </si>
  <si>
    <t>Each managed licence has exactly one record showing its client, company, state and licence type.</t>
  </si>
  <si>
    <t>Historical licence-task data held in the current task-tracking system (Section 7).</t>
  </si>
  <si>
    <t>FR49</t>
  </si>
  <si>
    <t>SL-FR-050</t>
  </si>
  <si>
    <t>Licence stage</t>
  </si>
  <si>
    <t>The solution shall record the current stage of each licence and allow staff to move it between stages.</t>
  </si>
  <si>
    <t>A licence moved to a new stage shows that stage, including a deficiency stage.</t>
  </si>
  <si>
    <t>FR50</t>
  </si>
  <si>
    <t>SL-FR-051</t>
  </si>
  <si>
    <t>Licence status notes and milestone dates</t>
  </si>
  <si>
    <t>The solution shall record dated status notes and the key milestone dates for each licence, including date sent to the state, date sent to the client for signature and date received back.</t>
  </si>
  <si>
    <t>A status note and each milestone date can be entered and are shown on the licence record.</t>
  </si>
  <si>
    <t>FR51</t>
  </si>
  <si>
    <t>SL-FR-052</t>
  </si>
  <si>
    <t>Licence deficiencies</t>
  </si>
  <si>
    <t>The solution shall record each deficiency raised by a state against a licence until it is resolved.</t>
  </si>
  <si>
    <t>A deficiency can be logged, shown as open, and marked resolved.</t>
  </si>
  <si>
    <t>FR52</t>
  </si>
  <si>
    <t>SL-FR-053</t>
  </si>
  <si>
    <t>State correspondence</t>
  </si>
  <si>
    <t>The solution shall store all correspondence to and from a state against the licence it concerns.</t>
  </si>
  <si>
    <t>Correspondence attached to a licence is retrievable from that licence record.</t>
  </si>
  <si>
    <t>FR53</t>
  </si>
  <si>
    <t>SL-FR-054</t>
  </si>
  <si>
    <t>People linked to a licence</t>
  </si>
  <si>
    <t>The solution shall record the people tied to each licence.</t>
  </si>
  <si>
    <t>People linked to a licence are listed on its record.</t>
  </si>
  <si>
    <t>FR54</t>
  </si>
  <si>
    <t>SL-FR-055</t>
  </si>
  <si>
    <t>Filing channel and state-system access</t>
  </si>
  <si>
    <t>The solution shall record whether each licence is filed online and, for online filings, the access details for the state system.</t>
  </si>
  <si>
    <t>An online licence shows its filing indicator and access details to authorised internal users only.</t>
  </si>
  <si>
    <t>FR55</t>
  </si>
  <si>
    <t>SL-FR-056</t>
  </si>
  <si>
    <t>Cross-analyst task view</t>
  </si>
  <si>
    <t>The solution shall let internal users view and report on licence tasks across all analysts and account managers.</t>
  </si>
  <si>
    <t>A manager can list all open licence tasks across the team, filtered by assignee.</t>
  </si>
  <si>
    <t>FR56</t>
  </si>
  <si>
    <t>SL-FR-057</t>
  </si>
  <si>
    <t>Find clients holding a state licence</t>
  </si>
  <si>
    <t>The solution shall identify all clients holding a licence in a given state.</t>
  </si>
  <si>
    <t>A query for one state returns every client with a managed licence in that state.</t>
  </si>
  <si>
    <t>FR57</t>
  </si>
  <si>
    <t>SL-FR-058</t>
  </si>
  <si>
    <t>Historical licence data</t>
  </si>
  <si>
    <t>The solution shall make available the historical licence records now held in the current task-tracking system.</t>
  </si>
  <si>
    <t>FR58</t>
  </si>
  <si>
    <t>SL-FR-059</t>
  </si>
  <si>
    <t>SL-09</t>
  </si>
  <si>
    <t>Licence change processing</t>
  </si>
  <si>
    <t>Initiate a licence change</t>
  </si>
  <si>
    <t>The solution shall allow internal staff to record a change of a stated type (for example business-structure change, acquisition, product addition, officer or designated-representative change) for an existing client and re-run the filing plan, document list and applications for the affected states.</t>
  </si>
  <si>
    <t>Business-structure changes, acquisitions and officer changes largely restart the licensing process today.</t>
  </si>
  <si>
    <t>Recording a change for a client produces an updated filing plan, document list and application set for the affected states without re-entering unchanged client data.</t>
  </si>
  <si>
    <t>SL-03 determination; SL-08 licence records.</t>
  </si>
  <si>
    <t>FR59</t>
  </si>
  <si>
    <t>SL-FR-060</t>
  </si>
  <si>
    <t>Officer or representative change submissions</t>
  </si>
  <si>
    <t>The solution shall generate the applications required by an officer or designated-representative change from the updated intake data, without changing the licence record itself.</t>
  </si>
  <si>
    <t>After an officer change, the required state submissions are generated with the new officer data and the licence keeps its identity.</t>
  </si>
  <si>
    <t>FR60</t>
  </si>
  <si>
    <t>SL-FR-061</t>
  </si>
  <si>
    <t>Add a single new state requirement</t>
  </si>
  <si>
    <t>The solution shall allow internal staff to add one newly required state licence to an existing client without re-running the other states.</t>
  </si>
  <si>
    <t>Adding one state creates its tracking record and application for that state only.</t>
  </si>
  <si>
    <t>FR61</t>
  </si>
  <si>
    <t>SL-FR-062</t>
  </si>
  <si>
    <t>Track each change as a task</t>
  </si>
  <si>
    <t>The solution shall track each licence change as a separate task.</t>
  </si>
  <si>
    <t>Each recorded change appears as its own task with status.</t>
  </si>
  <si>
    <t>FR62</t>
  </si>
  <si>
    <t>SL-FR-063</t>
  </si>
  <si>
    <t>SL-10</t>
  </si>
  <si>
    <t>Renewal management</t>
  </si>
  <si>
    <t>Renewal due date</t>
  </si>
  <si>
    <t>The solution shall record the renewal due date for each issued licence.</t>
  </si>
  <si>
    <t>Renewals depend on a manual step to create the next renewal task; a missed step can let a licence lapse.</t>
  </si>
  <si>
    <t>Every issued licence record carries a renewal due date.</t>
  </si>
  <si>
    <t>SL-08 licence records.</t>
  </si>
  <si>
    <t>FR63</t>
  </si>
  <si>
    <t>SL-FR-064</t>
  </si>
  <si>
    <t>Tracked next renewal for every issued licence</t>
  </si>
  <si>
    <t>The solution shall ensure every issued licence has a tracked next renewal.</t>
  </si>
  <si>
    <t>No issued licence exists without a tracked next renewal and its due date.</t>
  </si>
  <si>
    <t>FR64</t>
  </si>
  <si>
    <t>SL-FR-065</t>
  </si>
  <si>
    <t>Renewal information for the client</t>
  </si>
  <si>
    <t>The solution shall give the client, for each upcoming renewal, the due date, the documents needed, the cost and how to log in to the state system.</t>
  </si>
  <si>
    <t>Each upcoming renewal shown to the client includes its due date, required documents, cost and state login method.</t>
  </si>
  <si>
    <t>FR65</t>
  </si>
  <si>
    <t>SL-FR-066</t>
  </si>
  <si>
    <t>SL-11</t>
  </si>
  <si>
    <t>Facility licence verification</t>
  </si>
  <si>
    <t>Check facility licence issuance</t>
  </si>
  <si>
    <t>The solution shall determine whether a submitted facility licence application has resulted in an issued licence, and record the result and the date checked.</t>
  </si>
  <si>
    <t>Verification sweeps of whether facility licences are issued and active take several hours a week.</t>
  </si>
  <si>
    <t>A check on a pending facility application records issued or not issued with the check date.</t>
  </si>
  <si>
    <t>Access to state board of pharmacy verification sources (method to be proposed by vendor).</t>
  </si>
  <si>
    <t>FR66</t>
  </si>
  <si>
    <t>SL-FR-067</t>
  </si>
  <si>
    <t>Verify facility licence is active</t>
  </si>
  <si>
    <t>The solution shall verify with the relevant board of pharmacy whether an issued facility licence is active, on request, and record the result and the date checked.</t>
  </si>
  <si>
    <t>An on-request verification returns active or inactive for the licence and records the check date.</t>
  </si>
  <si>
    <t>FR67</t>
  </si>
  <si>
    <t>SL-FR-068</t>
  </si>
  <si>
    <t>SL-12</t>
  </si>
  <si>
    <t>Audit history view</t>
  </si>
  <si>
    <t>View company audit history</t>
  </si>
  <si>
    <t>The solution shall display the history of changes made to a client company's records.</t>
  </si>
  <si>
    <t>Clients and staff need a viewable and printable history of changes to company records.</t>
  </si>
  <si>
    <t>After a field on a company record is changed, the history shows the change, the user and the date.</t>
  </si>
  <si>
    <t>None identified.</t>
  </si>
  <si>
    <t>FR69, NFR9, DR18</t>
  </si>
  <si>
    <t>SL-FR-069</t>
  </si>
  <si>
    <t>Print company audit history</t>
  </si>
  <si>
    <t>The solution shall provide a printable view of a client company's audit history.</t>
  </si>
  <si>
    <t>The audit history for one company can be printed in full.</t>
  </si>
  <si>
    <t>FR70</t>
  </si>
  <si>
    <t>DPT-FR-001</t>
  </si>
  <si>
    <t>Drug Price Transparency</t>
  </si>
  <si>
    <t>DPT-01</t>
  </si>
  <si>
    <t>Organisation, product and pricing data intake</t>
  </si>
  <si>
    <t>Client organisation record</t>
  </si>
  <si>
    <t>The solution shall maintain a record for each client organisation holding its name, a primary contact (name, email and phone) and any additional contacts</t>
  </si>
  <si>
    <t>Pricing data is the foundation for every state report; template-based loading with validation is in use today.</t>
  </si>
  <si>
    <t>An organisation cannot be saved without a name and primary contact name, email and phone; additional contacts can be added and removed</t>
  </si>
  <si>
    <t>Client-supplied pricing data; compendia WAC history files (Section 7).</t>
  </si>
  <si>
    <t>FR71</t>
  </si>
  <si>
    <t>DPT-FR-002</t>
  </si>
  <si>
    <t>Product and NDC records</t>
  </si>
  <si>
    <t>The solution shall maintain the products belonging to each client organisation and the NDCs belonging to each product</t>
  </si>
  <si>
    <t>A user can add a product to an organisation and add one or more NDCs to it; each NDC number is unique in the solution</t>
  </si>
  <si>
    <t>FR72</t>
  </si>
  <si>
    <t>DPT-FR-003</t>
  </si>
  <si>
    <t>Product classification</t>
  </si>
  <si>
    <t>The solution shall record whether each product or NDC is branded, generic or biosimilar</t>
  </si>
  <si>
    <t>Each product or NDC carries exactly one classification of branded, generic or biosimilar, and the classification is available to rule evaluation</t>
  </si>
  <si>
    <t>FR73</t>
  </si>
  <si>
    <t>DPT-FR-004</t>
  </si>
  <si>
    <t>WAC price history</t>
  </si>
  <si>
    <t>The solution shall maintain the WAC price history of each NDC as dated prices with effective dates</t>
  </si>
  <si>
    <t>Each NDC shows its current WAC and every prior WAC with its effective date; a second price for the same NDC and effective date is rejected</t>
  </si>
  <si>
    <t>FR74</t>
  </si>
  <si>
    <t>DPT-FR-005</t>
  </si>
  <si>
    <t>Template-based pricing upload</t>
  </si>
  <si>
    <t>The solution shall accept pricing events by template upload for each event type — product launch, reprice, added NDC and historical prices — and provide the blank template for each type</t>
  </si>
  <si>
    <t>A user can download the template for, and upload a completed file of, each of the four event types</t>
  </si>
  <si>
    <t>FR75</t>
  </si>
  <si>
    <t>DPT-FR-006</t>
  </si>
  <si>
    <t>Pricing upload validation</t>
  </si>
  <si>
    <t>The solution shall validate each pricing upload before accepting it and report each failing row</t>
  </si>
  <si>
    <t>Rows are rejected when a date field is not a real date, the price is not a number, any field other than the PDUFA date is empty, an NDC appears more than once in a line, or a reprice effective date is not later than the latest recorded price for that NDC</t>
  </si>
  <si>
    <t>FR76</t>
  </si>
  <si>
    <t>DPT-FR-007</t>
  </si>
  <si>
    <t>Upload review before commit</t>
  </si>
  <si>
    <t>The solution shall show the parsed rows of a pricing upload, with the number of reports each row triggers, for review before the upload is committed or saved as a draft</t>
  </si>
  <si>
    <t>The review shows NDC number and name, product, WAC, PDUFA date, effective date, classification and reports triggered per row, with options to save as draft or continue</t>
  </si>
  <si>
    <t>FR77</t>
  </si>
  <si>
    <t>DPT-FR-008</t>
  </si>
  <si>
    <t>Pre-launch correction</t>
  </si>
  <si>
    <t>The solution shall allow a product's launch WAC and launch date to be corrected before launch and shall recalculate all reporting triggers that depend on them</t>
  </si>
  <si>
    <t>After a launch WAC or launch date is changed before launch, previously triggered reports for that launch are cleared and the triggered list reflects the corrected values</t>
  </si>
  <si>
    <t>FR78</t>
  </si>
  <si>
    <t>DPT-FR-009</t>
  </si>
  <si>
    <t>Product archiving</t>
  </si>
  <si>
    <t>The solution shall allow a product to be archived and restored, keeping its past reports and information accessible while archived</t>
  </si>
  <si>
    <t>An archived product is hidden from the default product list, appears when archived products are shown, and its past reports remain viewable</t>
  </si>
  <si>
    <t>FR79</t>
  </si>
  <si>
    <t>DPT-FR-010</t>
  </si>
  <si>
    <t>State-specific data uploads</t>
  </si>
  <si>
    <t>The solution shall accept the additional state-specific data that particular state reports require beyond standard pricing events</t>
  </si>
  <si>
    <t>FR80</t>
  </si>
  <si>
    <t>DPT-FR-011</t>
  </si>
  <si>
    <t>DPT-02</t>
  </si>
  <si>
    <t>State rule and trigger evaluation</t>
  </si>
  <si>
    <t>State rule coverage</t>
  </si>
  <si>
    <t>The solution shall hold reporting rules for every US state with a drug price transparency requirement</t>
  </si>
  <si>
    <t>Twenty-one states impose differing, effective-dated reporting rules; missed or late reports carry daily penalties.</t>
  </si>
  <si>
    <t>Rules exist for each of the 21 states currently listed: CA, CT, FL, IL, LA, ME, MN, NV, NH, NJ, NM, NY, NC, ND, OR, TX, UT, VT, VA, WA, WV</t>
  </si>
  <si>
    <t>Authoritative rule definitions confirmed by Two Labs (see clarification items CLR-01 to CLR-06).</t>
  </si>
  <si>
    <t>FR81</t>
  </si>
  <si>
    <t>DPT-FR-012</t>
  </si>
  <si>
    <t>Pricing event evaluation</t>
  </si>
  <si>
    <t>The solution shall evaluate each launch, reprice and added-NDC event against the state rules to identify every report it triggers</t>
  </si>
  <si>
    <t>For an uploaded event, the solution lists each triggered report by state and report name; an event meeting no rule shows that no reports are triggered</t>
  </si>
  <si>
    <t>FR82</t>
  </si>
  <si>
    <t>DPT-FR-013</t>
  </si>
  <si>
    <t>Combined rule conditions</t>
  </si>
  <si>
    <t>The solution shall evaluate rules that combine conditions on WAC amount and percentage increase using AND, OR and grouping, applying the defined precedence between them</t>
  </si>
  <si>
    <t>A rule requiring an amount condition AND either of two percentage conditions triggers when the amount condition and at least one percentage condition are met, and does not trigger when the amount condition fails</t>
  </si>
  <si>
    <t>FR83</t>
  </si>
  <si>
    <t>DPT-FR-014</t>
  </si>
  <si>
    <t>Look-back windows</t>
  </si>
  <si>
    <t>The solution shall calculate price increases over each look-back window a state rule uses, including rolling 12 months, preceding 24 and 36 months, the prior calendar year, and two years and a day</t>
  </si>
  <si>
    <t>For the California two-years-and-a-day window, an increase taking effect in 2026 is measured against the WAC in effect on 31 December 2023; a definition of each window term is agreed</t>
  </si>
  <si>
    <t>FR84</t>
  </si>
  <si>
    <t>DPT-FR-015</t>
  </si>
  <si>
    <t>Product-type rule conditions</t>
  </si>
  <si>
    <t>The solution shall apply rule conditions that restrict a report to branded, generic or biosimilar products</t>
  </si>
  <si>
    <t>A report whose rule is restricted to branded products is not triggered by an otherwise qualifying increase on a generic product</t>
  </si>
  <si>
    <t>FR85</t>
  </si>
  <si>
    <t>DPT-FR-016</t>
  </si>
  <si>
    <t>Biosimilar reference pricing</t>
  </si>
  <si>
    <t>The solution shall hold reference-product pricing for biosimilars and apply biosimilar conditions that compare a biosimilar's price with its reference product</t>
  </si>
  <si>
    <t>FR86</t>
  </si>
  <si>
    <t>DPT-FR-017</t>
  </si>
  <si>
    <t>Effective-dated thresholds</t>
  </si>
  <si>
    <t>The solution shall apply system thresholds that change over time, such as the Medicare Part D threshold, using the value in force on the event's effective date</t>
  </si>
  <si>
    <t>A launch effective in 2025 is assessed against a Medicare Part D threshold of $950; a launch effective on or after 1 January 2027 is assessed against $1,080</t>
  </si>
  <si>
    <t>FR87</t>
  </si>
  <si>
    <t>DPT-FR-018</t>
  </si>
  <si>
    <t>Reporting start and discontinuation dates</t>
  </si>
  <si>
    <t>The solution shall trigger a report only for events dated on or after its reporting start date and before its discontinuation date, treating a report with no discontinuation date as active</t>
  </si>
  <si>
    <t>ND1–ND3 trigger only for products with an effective date before 16 May 2025; LA1 triggers only for products with an effective date before 20 June 2025</t>
  </si>
  <si>
    <t>FR88</t>
  </si>
  <si>
    <t>DPT-FR-019</t>
  </si>
  <si>
    <t>Launch reporting triggers</t>
  </si>
  <si>
    <t>The solution shall identify launch-related reports triggered by receipt of the PDUFA date and by commercial launch</t>
  </si>
  <si>
    <t>Recording a PDUFA date for a new product triggers the Connecticut and Washington post-PDUFA reports</t>
  </si>
  <si>
    <t>FR89</t>
  </si>
  <si>
    <t>DPT-FR-020</t>
  </si>
  <si>
    <t>Recurring and list-based obligations</t>
  </si>
  <si>
    <t>The solution shall identify one-time, quarterly, annual, ongoing and state-list-based reporting obligations</t>
  </si>
  <si>
    <t>FR90</t>
  </si>
  <si>
    <t>DPT-FR-021</t>
  </si>
  <si>
    <t>Report due dates</t>
  </si>
  <si>
    <t>The solution shall calculate the due date of each triggered report from the fact the state's rule names, such as the price increase effective date or the PDUFA date</t>
  </si>
  <si>
    <t>An advance-notification report is due 60 days before the price increase effective date; a post-increase report is due the stated number of days (for example 10 or 20) after it</t>
  </si>
  <si>
    <t>FR91</t>
  </si>
  <si>
    <t>DPT-FR-022</t>
  </si>
  <si>
    <t>Triggering facts record</t>
  </si>
  <si>
    <t>The solution shall record and display, for each triggered report, the facts and the rule criteria that caused it to trigger</t>
  </si>
  <si>
    <t>Each triggered report shows the values used (for example current and dated WACs) and the criteria met, without the user opening the report file</t>
  </si>
  <si>
    <t>FR92</t>
  </si>
  <si>
    <t>DPT-FR-023</t>
  </si>
  <si>
    <t>Rule maintenance</t>
  </si>
  <si>
    <t>The solution shall allow state rules, report definitions and thresholds to be added, changed and discontinued when a state enacts, amends or repeals a requirement</t>
  </si>
  <si>
    <t>FR93</t>
  </si>
  <si>
    <t>DPT-FR-024</t>
  </si>
  <si>
    <t>Calculation precision</t>
  </si>
  <si>
    <t>The solution shall present monetary results to the cent and percentage results to one decimal place, retaining full calculation precision internally</t>
  </si>
  <si>
    <t>Monetary values display to the penny and percentages to the tenth of a percent; intermediate calculations support up to 10 decimal places</t>
  </si>
  <si>
    <t>FR100</t>
  </si>
  <si>
    <t>DPT-FR-025</t>
  </si>
  <si>
    <t>DPT-03</t>
  </si>
  <si>
    <t>Price-increase scenario modelling</t>
  </si>
  <si>
    <t>Percentage-increase scenario</t>
  </si>
  <si>
    <t>The solution shall show which reports a proposed price increase of a given percentage would trigger</t>
  </si>
  <si>
    <t>Clients plan price increases around state reporting thresholds and advance-notice windows.</t>
  </si>
  <si>
    <t>Entering a 10% increase for an NDC lists every state report it would trigger with due dates, without changing the NDC's price history</t>
  </si>
  <si>
    <t>DPT-02 rule evaluation.</t>
  </si>
  <si>
    <t>FR94</t>
  </si>
  <si>
    <t>DPT-FR-026</t>
  </si>
  <si>
    <t>Maximum increase without any trigger</t>
  </si>
  <si>
    <t>The solution shall calculate the maximum price increase that triggers no state report</t>
  </si>
  <si>
    <t>Applying the calculated maximum produces no triggered report; any larger increase triggers at least one</t>
  </si>
  <si>
    <t>FR95</t>
  </si>
  <si>
    <t>DPT-FR-027</t>
  </si>
  <si>
    <t>Maximum increase avoiding selected states</t>
  </si>
  <si>
    <t>The solution shall calculate the maximum price increase that triggers no report in one or more user-selected states</t>
  </si>
  <si>
    <t>With Oregon selected, applying the calculated maximum triggers no Oregon report</t>
  </si>
  <si>
    <t>FR96</t>
  </si>
  <si>
    <t>DPT-FR-028</t>
  </si>
  <si>
    <t>Maximum increase avoiding a report category</t>
  </si>
  <si>
    <t>The solution shall calculate the maximum price increase that triggers no report in a chosen category, such as advance notifications</t>
  </si>
  <si>
    <t>Applying the calculated maximum triggers no advance-notification report</t>
  </si>
  <si>
    <t>FR97</t>
  </si>
  <si>
    <t>DPT-FR-029</t>
  </si>
  <si>
    <t>Multiple and multi-year increases</t>
  </si>
  <si>
    <t>The solution shall model a series of price increases over any period, including more than one increase in the same year</t>
  </si>
  <si>
    <t>A scenario with three increases across two years shows the reports triggered by each increase given the earlier ones</t>
  </si>
  <si>
    <t>FR98</t>
  </si>
  <si>
    <t>DPT-FR-030</t>
  </si>
  <si>
    <t>Scenario output</t>
  </si>
  <si>
    <t>The solution shall produce, for each scenario run, the scenario type, client, product, NDC, PDUFA date, original price and effective date, maximum increase as a percentage and amount, increase date, and the reports triggered with due dates</t>
  </si>
  <si>
    <t>A scenario output contains each listed item for every NDC modelled</t>
  </si>
  <si>
    <t>FR99</t>
  </si>
  <si>
    <t>DPT-FR-031</t>
  </si>
  <si>
    <t>Model-to-actual consistency</t>
  </si>
  <si>
    <t>The solution shall produce the same triggered reports for a modelled increase as for the same increase when it is later recorded as an actual reprice</t>
  </si>
  <si>
    <t>A modelled increase and a later reprice with the same price and date list identical triggered reports</t>
  </si>
  <si>
    <t>FR101</t>
  </si>
  <si>
    <t>DPT-FR-032</t>
  </si>
  <si>
    <t>Saved and compared scenarios</t>
  </si>
  <si>
    <t>The solution shall allow scenarios to be saved as drafts without creating reports and compared side by side by state</t>
  </si>
  <si>
    <t>Selecting two or more drafts shows, per state, how many reports each triggers</t>
  </si>
  <si>
    <t>FR102</t>
  </si>
  <si>
    <t>DPT-FR-033</t>
  </si>
  <si>
    <t>Client-run scenarios</t>
  </si>
  <si>
    <t>The solution shall allow an authorised client user to run price-increase scenarios for the client's own products</t>
  </si>
  <si>
    <t>A client user can run each scenario type for its own products and cannot see another client's products</t>
  </si>
  <si>
    <t>FR103</t>
  </si>
  <si>
    <t>DPT-FR-034</t>
  </si>
  <si>
    <t>DPT-04</t>
  </si>
  <si>
    <t>Historical lookback and gap analysis</t>
  </si>
  <si>
    <t>Historical lookback evaluation</t>
  </si>
  <si>
    <t>The solution shall evaluate a client's historical price changes, loaded from standardised compendia WAC-history files, against the rules in effect at the date of each change</t>
  </si>
  <si>
    <t>Commercial clients are onboarded by reconciling past pricing events against the reports that should have been filed.</t>
  </si>
  <si>
    <t>A historical file is validated before evaluation, and a change dated before a report's discontinuation date is evaluated against that report</t>
  </si>
  <si>
    <t>Compendia WAC history files and associated data rights (Section 7).</t>
  </si>
  <si>
    <t>FR104</t>
  </si>
  <si>
    <t>DPT-FR-035</t>
  </si>
  <si>
    <t>Lookback results output</t>
  </si>
  <si>
    <t>The solution shall produce a client-ready lookback output listing every report each historical change should have triggered, with its due date</t>
  </si>
  <si>
    <t>For each historical change the output shows product, NDC, date and percentage of increase, prior and new WAC, and each triggered report with due date, or that no report was triggered</t>
  </si>
  <si>
    <t>FR105</t>
  </si>
  <si>
    <t>DPT-FR-036</t>
  </si>
  <si>
    <t>Historical price loading modes</t>
  </si>
  <si>
    <t>The solution shall allow historical prices to be loaded either as price history only or with evaluation of the reports they trigger</t>
  </si>
  <si>
    <t>Loading history only adds dated prices without triggered reports; loading with evaluation lists the historical reports triggered</t>
  </si>
  <si>
    <t>FR106</t>
  </si>
  <si>
    <t>DPT-FR-037</t>
  </si>
  <si>
    <t>DPT-05</t>
  </si>
  <si>
    <t>Report detail data collection</t>
  </si>
  <si>
    <t>Required report details</t>
  </si>
  <si>
    <t>The solution shall identify, for each triggered report, the additional information that report requires</t>
  </si>
  <si>
    <t>Report data is re-keyed into each state template today; common data should be captured once.</t>
  </si>
  <si>
    <t>For each triggered report the solution lists the information still required, such as R&amp;D, marketing and manufacturing costs or price increase rationale</t>
  </si>
  <si>
    <t>State report field definitions.</t>
  </si>
  <si>
    <t>FR107</t>
  </si>
  <si>
    <t>DPT-FR-038</t>
  </si>
  <si>
    <t>Common data reuse</t>
  </si>
  <si>
    <t>The solution shall capture information common to several triggered reports once and reuse it in every report that needs it</t>
  </si>
  <si>
    <t>An NDC, manufacturer name and WAC entered once for an event appear in all ten reports that event triggers, with no further entry</t>
  </si>
  <si>
    <t>FR108</t>
  </si>
  <si>
    <t>DPT-FR-039</t>
  </si>
  <si>
    <t>State-specific report fields</t>
  </si>
  <si>
    <t>The solution shall capture the state-specific fields each state's report requires in addition to common fields</t>
  </si>
  <si>
    <t>FR109</t>
  </si>
  <si>
    <t>DPT-FR-040</t>
  </si>
  <si>
    <t>Missing information visibility</t>
  </si>
  <si>
    <t>The solution shall show, for each triggered report, whether the information it requires is complete</t>
  </si>
  <si>
    <t>A triggered report whose required details are not yet provided is shown as incomplete until they are provided</t>
  </si>
  <si>
    <t>FR110</t>
  </si>
  <si>
    <t>DPT-FR-041</t>
  </si>
  <si>
    <t>Report detail template</t>
  </si>
  <si>
    <t>The solution shall provide a report-details template covering the reports triggered for an event and accept the completed template, validating it on upload</t>
  </si>
  <si>
    <t>The downloaded template lists product, report, NDC and due date for each triggered report and states any answer-length limits; an invalid upload is rejected with the failing fields identified</t>
  </si>
  <si>
    <t>FR111</t>
  </si>
  <si>
    <t>DPT-FR-042</t>
  </si>
  <si>
    <t>Trade-secret justification</t>
  </si>
  <si>
    <t>The solution shall accept a trade-secret justification for a report where the state provides for one</t>
  </si>
  <si>
    <t>A report for a state that allows trade-secret claims accepts a justification and carries it into the report output</t>
  </si>
  <si>
    <t>FR112</t>
  </si>
  <si>
    <t>DPT-FR-043</t>
  </si>
  <si>
    <t>The solution shall allow internal staff to enter report information on a client's behalf</t>
  </si>
  <si>
    <t>An analyst can enter or upload report details for any organisation assigned to them</t>
  </si>
  <si>
    <t>FR113</t>
  </si>
  <si>
    <t>DPT-FR-044</t>
  </si>
  <si>
    <t>Client entry of report information</t>
  </si>
  <si>
    <t>The solution shall allow an authorised client user to enter the information required for its own triggered reports</t>
  </si>
  <si>
    <t>A client user can enter report details for its own products, and the entries appear in the generated reports</t>
  </si>
  <si>
    <t>FR114</t>
  </si>
  <si>
    <t>DPT-FR-045</t>
  </si>
  <si>
    <t>DPT-06</t>
  </si>
  <si>
    <t>State-ready report generation</t>
  </si>
  <si>
    <t>The solution shall generate each triggered report as a complete output, populated from the collected data, that can be submitted to the state without re-keying</t>
  </si>
  <si>
    <t>Producing submittable reports directly is expected to deliver the largest internal efficiency gain and is a core client value.</t>
  </si>
  <si>
    <t>For each state report in scope, the generated output is accepted by the DPT team as submittable without manual reformatting</t>
  </si>
  <si>
    <t>State-required output formats (DPT-02, DPT-09).</t>
  </si>
  <si>
    <t>FR115</t>
  </si>
  <si>
    <t>DPT-FR-046</t>
  </si>
  <si>
    <t>State-required file format</t>
  </si>
  <si>
    <t>The solution shall produce each report in the file format its state requires</t>
  </si>
  <si>
    <t>Each report is produced in the format recorded as required for that state report (spreadsheet, word-processing document, CSV or PDF)</t>
  </si>
  <si>
    <t>FR116</t>
  </si>
  <si>
    <t>DPT-FR-047</t>
  </si>
  <si>
    <t>Editable data download</t>
  </si>
  <si>
    <t>The solution shall allow report outputs and report data to be downloaded in an editable spreadsheet format</t>
  </si>
  <si>
    <t>A user can download any generated report, and the full report list, in an editable spreadsheet format</t>
  </si>
  <si>
    <t>FR117</t>
  </si>
  <si>
    <t>DPT-FR-048</t>
  </si>
  <si>
    <t>Report output replacement</t>
  </si>
  <si>
    <t>The solution shall allow a generated report file to be replaced with a revised version</t>
  </si>
  <si>
    <t>After replacement, the report shows and downloads the revised file</t>
  </si>
  <si>
    <t>FR118</t>
  </si>
  <si>
    <t>DPT-FR-049</t>
  </si>
  <si>
    <t>DPT-07</t>
  </si>
  <si>
    <t>Report tracking and filing calendar</t>
  </si>
  <si>
    <t>Report status lifecycle</t>
  </si>
  <si>
    <t>The solution shall track each report through the statuses Incomplete, Not Yet Submitted, Submitted to State, Changes Requested and Accepted</t>
  </si>
  <si>
    <t>Report status and due dates are tracked in spreadsheets and emailed to clients today.</t>
  </si>
  <si>
    <t>A user can move a report between these statuses; an accepted report leaves the active list and appears in the accepted list</t>
  </si>
  <si>
    <t>DPT-02 due-date calculation.</t>
  </si>
  <si>
    <t>FR119</t>
  </si>
  <si>
    <t>DPT-FR-050</t>
  </si>
  <si>
    <t>Submission evidence</t>
  </si>
  <si>
    <t>The solution shall require a copy of the submission to be attached when a report is marked as submitted to the state</t>
  </si>
  <si>
    <t>A report cannot be set to Submitted to State without an attached submission copy; several files can be attached together</t>
  </si>
  <si>
    <t>FR120</t>
  </si>
  <si>
    <t>DPT-FR-051</t>
  </si>
  <si>
    <t>Due and overdue views</t>
  </si>
  <si>
    <t>The solution shall show reports due soon and overdue, by organisation, product and NDC, in list and calendar form</t>
  </si>
  <si>
    <t>Organisations show a status of compliant, active drafts, reporting due or reporting overdue; reports due are grouped by this week, next week and this month; overdue reports are visibly distinguished</t>
  </si>
  <si>
    <t>FR121</t>
  </si>
  <si>
    <t>DPT-FR-052</t>
  </si>
  <si>
    <t>Report list</t>
  </si>
  <si>
    <t>The solution shall provide a list of all reports, with separate active and accepted views, that can be searched, filtered and sorted</t>
  </si>
  <si>
    <t>The list can be filtered by organisation, product, NDC and status, defaults to soonest due first, and each product shows its history of accepted reports</t>
  </si>
  <si>
    <t>FR122</t>
  </si>
  <si>
    <t>DPT-FR-053</t>
  </si>
  <si>
    <t>Client report tracker</t>
  </si>
  <si>
    <t>The solution shall give each client a view of the reports completed for it and the reports it must file in future</t>
  </si>
  <si>
    <t>A client user sees, for its own products only, each completed report and each upcoming report with its due date</t>
  </si>
  <si>
    <t>FR123</t>
  </si>
  <si>
    <t>DPT-FR-054</t>
  </si>
  <si>
    <t>On-time submission measurement</t>
  </si>
  <si>
    <t>The solution shall record each report's submission date against its due date so that on-time submission can be measured</t>
  </si>
  <si>
    <t>The proportion of reports submitted on or before their due date can be reported for a chosen period</t>
  </si>
  <si>
    <t>FR124</t>
  </si>
  <si>
    <t>DPT-FR-055</t>
  </si>
  <si>
    <t>DPT-08</t>
  </si>
  <si>
    <t>Rule transparency, manual override and override record</t>
  </si>
  <si>
    <t>Look-back basis display</t>
  </si>
  <si>
    <t>The solution shall show, for each calculated result, the look-back date and the WAC used and the regulation that set them</t>
  </si>
  <si>
    <t>Users must be able to see how a result was reached and override it with a full record, because accuracy is the basis on which the service competes.</t>
  </si>
  <si>
    <t>A California price-increase result displays the look-back date applied, the WAC in effect on that date and the governing regulation</t>
  </si>
  <si>
    <t>FR125</t>
  </si>
  <si>
    <t>DPT-FR-056</t>
  </si>
  <si>
    <t>Manual override of calculation inputs</t>
  </si>
  <si>
    <t>The solution shall allow a user to override the look-back date or the WAC used in a calculation</t>
  </si>
  <si>
    <t>A user can replace the look-back date or WAC for a result and the replacement is used</t>
  </si>
  <si>
    <t>FR126</t>
  </si>
  <si>
    <t>DPT-FR-057</t>
  </si>
  <si>
    <t>Recalculation after override</t>
  </si>
  <si>
    <t>The solution shall recalculate all values dependent on an overridden input</t>
  </si>
  <si>
    <t>After an override, dependent percentages, triggered reports and due dates update without further input</t>
  </si>
  <si>
    <t>FR127</t>
  </si>
  <si>
    <t>DPT-FR-058</t>
  </si>
  <si>
    <t>Prior output retention</t>
  </si>
  <si>
    <t>The solution shall show the result the solution produced before an override alongside the overridden result</t>
  </si>
  <si>
    <t>Both the original and the overridden values are visible for an overridden result</t>
  </si>
  <si>
    <t>FR128</t>
  </si>
  <si>
    <t>DPT-FR-059</t>
  </si>
  <si>
    <t>Override record</t>
  </si>
  <si>
    <t>The solution shall record, for every override, who made it, what was overridden, the value replaced, the new value and when it was made</t>
  </si>
  <si>
    <t>Each override has a viewable record with user, item, previous value, new value and date and time</t>
  </si>
  <si>
    <t>FR129, DR30, NFR8</t>
  </si>
  <si>
    <t>DPT-FR-060</t>
  </si>
  <si>
    <t>Apply-forward choice</t>
  </si>
  <si>
    <t>The solution shall capture, for each override, whether the user wants it applied in future calculations</t>
  </si>
  <si>
    <t>Each override records an apply-forward choice of yes or no</t>
  </si>
  <si>
    <t>FR130</t>
  </si>
  <si>
    <t>DPT-FR-061</t>
  </si>
  <si>
    <t>DPT-09</t>
  </si>
  <si>
    <t>State rules, reference and template library</t>
  </si>
  <si>
    <t>State reference library</t>
  </si>
  <si>
    <t>The solution shall hold current guidance, statutes, user guides and report templates for each DPT state and make them available to users from within the solution</t>
  </si>
  <si>
    <t>State guidance, statutes and templates are held in a separate document library today and must stay current.</t>
  </si>
  <si>
    <t>For each DPT state a user can open the current guidance, statutes and report templates</t>
  </si>
  <si>
    <t>Existing state reference library content (Section 7).</t>
  </si>
  <si>
    <t>FR131</t>
  </si>
  <si>
    <t>DPT-FR-062</t>
  </si>
  <si>
    <t>Reference links from rules and reports</t>
  </si>
  <si>
    <t>The solution shall link each rule and each triggered report to the reference materials for its state</t>
  </si>
  <si>
    <t>Selecting the state on a rule or triggered report opens that state's reference materials</t>
  </si>
  <si>
    <t>FR132</t>
  </si>
  <si>
    <t>DPT-FR-063</t>
  </si>
  <si>
    <t>Regulation and submission links</t>
  </si>
  <si>
    <t>The solution shall hold, for each state report, a link to the governing state regulation and to the state's submission channel</t>
  </si>
  <si>
    <t>Each report shows working links to its state regulation and submission channel</t>
  </si>
  <si>
    <t>FR133</t>
  </si>
  <si>
    <t>DPT-FR-064</t>
  </si>
  <si>
    <t>Template refresh</t>
  </si>
  <si>
    <t>The solution shall replace a state report template when the state changes it, so that users obtain only the current template</t>
  </si>
  <si>
    <t>After a template is replaced, users downloading it receive the new version</t>
  </si>
  <si>
    <t>FR134</t>
  </si>
  <si>
    <t>DPT-FR-065</t>
  </si>
  <si>
    <t>Rules view</t>
  </si>
  <si>
    <t>The solution shall give all users a view-only, searchable list of state rules showing each rule's criteria, reporting start date and end date</t>
  </si>
  <si>
    <t>Admin and non-admin users can view, search and filter rules but cannot edit them from this view</t>
  </si>
  <si>
    <t>FR135</t>
  </si>
  <si>
    <t>DPT-FR-066</t>
  </si>
  <si>
    <t>DPT-10</t>
  </si>
  <si>
    <t>Pending legislation status tracking</t>
  </si>
  <si>
    <t>Pending bill tracking</t>
  </si>
  <si>
    <t>The solution shall record pending DPT bills with their current status and upcoming legislative milestones</t>
  </si>
  <si>
    <t>Dozens to hundreds of pending bills are tracked each year to anticipate new obligations.</t>
  </si>
  <si>
    <t>Each tracked bill shows state, status and next milestone (for example committee or governor deadline)</t>
  </si>
  <si>
    <t>Third-party legislative-tracking data and associated content rights (Section 7).</t>
  </si>
  <si>
    <t>FR136</t>
  </si>
  <si>
    <t>DPT-FR-067</t>
  </si>
  <si>
    <t>Bill impact note</t>
  </si>
  <si>
    <t>The solution shall record, for each tracked bill, its potential impact on DPT reporting obligations</t>
  </si>
  <si>
    <t>FR137</t>
  </si>
  <si>
    <t>SH-FR-001</t>
  </si>
  <si>
    <t>Shared</t>
  </si>
  <si>
    <t>SH-01</t>
  </si>
  <si>
    <t>Separate module subscriptions</t>
  </si>
  <si>
    <t>Module subscription record</t>
  </si>
  <si>
    <t>The solution shall record, for each client organisation, whether it holds the State Licensing subscription, the DPT subscription or both, each held independently of the other</t>
  </si>
  <si>
    <t>State Licensing and DPT will be sold as two separate subscriptions; a client may hold one or both.</t>
  </si>
  <si>
    <t>A client can be set up with State Licensing only, DPT only, or both, and each subscription can be added or removed without changing the other</t>
  </si>
  <si>
    <t>Commercial packaging defined by Two Labs.</t>
  </si>
  <si>
    <t>FR138, DR33</t>
  </si>
  <si>
    <t>SH-FR-002</t>
  </si>
  <si>
    <t>Access limited to held modules</t>
  </si>
  <si>
    <t>The solution shall give a client's users access only to the functions and data of the modules that client holds a subscription for</t>
  </si>
  <si>
    <t>A user of a client holding only one module cannot open or see the other module's functions or data</t>
  </si>
  <si>
    <t>FR139</t>
  </si>
  <si>
    <t>SH-FR-003</t>
  </si>
  <si>
    <t>SH-02</t>
  </si>
  <si>
    <t>Client self-service operation</t>
  </si>
  <si>
    <t>Client self-performed module tasks</t>
  </si>
  <si>
    <t>The solution shall allow client users to carry out a module's tasks themselves, using the capabilities internal staff use, without a Two Labs team member acting for them</t>
  </si>
  <si>
    <t>The strategic objective is for clients to operate the tools themselves, standalone or alongside managed service.</t>
  </si>
  <si>
    <t>Stage 2</t>
  </si>
  <si>
    <t>Client access model and liability position (see clarification items).</t>
  </si>
  <si>
    <t>FR141</t>
  </si>
  <si>
    <t>SH-FR-004</t>
  </si>
  <si>
    <t>Standalone and hybrid client use</t>
  </si>
  <si>
    <t>The solution shall support both a client that uses a module standalone, without managed service, and a hybrid client that uses the module alongside Two Labs managed service</t>
  </si>
  <si>
    <t>FR142</t>
  </si>
  <si>
    <t>SH-FR-005</t>
  </si>
  <si>
    <t>Shared working on client records</t>
  </si>
  <si>
    <t>The solution shall allow internal staff and a hybrid client's users to work on the same client records within a module</t>
  </si>
  <si>
    <t>An entry made by a hybrid client's user is visible to the assigned internal staff for that client, and vice versa</t>
  </si>
  <si>
    <t>FR143</t>
  </si>
  <si>
    <t>SH-FR-006</t>
  </si>
  <si>
    <t>SH-03</t>
  </si>
  <si>
    <t>User access, roles and authentication</t>
  </si>
  <si>
    <t>Authenticated access</t>
  </si>
  <si>
    <t>The solution shall authenticate every internal and client user before granting access to any module</t>
  </si>
  <si>
    <t>Internal and client users require controlled access to sensitive personal, pricing and trade-secret information.</t>
  </si>
  <si>
    <t>An unauthenticated request to any module page or data is refused</t>
  </si>
  <si>
    <t>Client and internal role model to be confirmed (CLR items; Section 6).</t>
  </si>
  <si>
    <t>FR145</t>
  </si>
  <si>
    <t>SH-FR-007</t>
  </si>
  <si>
    <t>Self-service password recovery</t>
  </si>
  <si>
    <t>The solution shall allow a user who has forgotten their password to reset it after verifying their identity, without staff intervention</t>
  </si>
  <si>
    <t>A user requests a reset, receives a verification code, and sets a new password that meets the password rules</t>
  </si>
  <si>
    <t>FR146</t>
  </si>
  <si>
    <t>SH-FR-008</t>
  </si>
  <si>
    <t>Second-factor reset by administrators</t>
  </si>
  <si>
    <t>The solution shall allow internal administrators to reset a user's second sign-in factor and registered phone number, after which the user re-enrols</t>
  </si>
  <si>
    <t>After an administrator reset, the user is prompted to re-enable the second factor and receives a new backup code</t>
  </si>
  <si>
    <t>FR147</t>
  </si>
  <si>
    <t>SH-FR-009</t>
  </si>
  <si>
    <t>User invitation and removal</t>
  </si>
  <si>
    <t>The solution shall allow internal administrators to invite a user by name, email and role, and to deactivate or delete a user</t>
  </si>
  <si>
    <t>An invited user receives an invitation to set a password; a deleted or deactivated user can no longer sign in</t>
  </si>
  <si>
    <t>FR148</t>
  </si>
  <si>
    <t>SH-FR-010</t>
  </si>
  <si>
    <t>User assignment to clients and projects</t>
  </si>
  <si>
    <t>The solution shall allow internal users to be assigned to specific client organisations and projects, including an account manager and an analyst for each client</t>
  </si>
  <si>
    <t>An account manager and analyst can be assigned to a client; the assignment is shown on that client's records</t>
  </si>
  <si>
    <t>FR149</t>
  </si>
  <si>
    <t>SH-FR-011</t>
  </si>
  <si>
    <t>Access restricted to assignments</t>
  </si>
  <si>
    <t>The solution shall restrict a non-administrator user to the client organisations they are assigned to</t>
  </si>
  <si>
    <t>A non-administrator user cannot open records of a client organisation they are not assigned to</t>
  </si>
  <si>
    <t>FR151</t>
  </si>
  <si>
    <t>SH-FR-012</t>
  </si>
  <si>
    <t>Internal and client function separation</t>
  </si>
  <si>
    <t>The solution shall keep internal administration functions separate from client-facing functions, so that client users reach only the functions granted to them</t>
  </si>
  <si>
    <t>A client user cannot open internal administration functions</t>
  </si>
  <si>
    <t>FR152</t>
  </si>
  <si>
    <t>SH-FR-013</t>
  </si>
  <si>
    <t>Deactivated client administrator handling</t>
  </si>
  <si>
    <t>The solution shall show no named user, or a neutral placeholder, as client administrator on a project whose client administrator has been deactivated and not replaced</t>
  </si>
  <si>
    <t>When a project's client administrator is deactivated and none is assigned, the project shows "None" or a placeholder such as "Client Administrator – Portal Setup", never the deactivated user</t>
  </si>
  <si>
    <t>FR155</t>
  </si>
  <si>
    <t>SH-FR-014</t>
  </si>
  <si>
    <t>SH-04</t>
  </si>
  <si>
    <t>Regulatory intelligence subscription</t>
  </si>
  <si>
    <t>Curated regulatory update delivery</t>
  </si>
  <si>
    <t>The solution shall deliver curated regulatory updates, each carrying Two Labs' interpretation and recommended action, to subscribing clients through the tool</t>
  </si>
  <si>
    <t>Curated interpretation of regulatory change, with a recommended action, is a planned paid subscription.</t>
  </si>
  <si>
    <t>Subject-matter expert curation capacity; third-party content rights.</t>
  </si>
  <si>
    <t>FR156</t>
  </si>
  <si>
    <t>SH-FR-015</t>
  </si>
  <si>
    <t>Regulatory intelligence purchasable alone or as hybrid</t>
  </si>
  <si>
    <t>The solution shall allow a client to hold the regulatory intelligence subscription on its own or in addition to a managed-service engagement</t>
  </si>
  <si>
    <t>FR157</t>
  </si>
  <si>
    <t>SH-FR-016</t>
  </si>
  <si>
    <t>Updates only to paying subscribers</t>
  </si>
  <si>
    <t>The solution shall deliver regulatory updates through the tool only to clients that hold the regulatory intelligence subscription.</t>
  </si>
  <si>
    <t>A client without the subscription receives no regulatory update through the tool</t>
  </si>
  <si>
    <t>FR158</t>
  </si>
  <si>
    <t>SH-FR-017</t>
  </si>
  <si>
    <t>Account manager release control</t>
  </si>
  <si>
    <t>The solution shall allow account managers to control which regulatory updates are released to clients through the tool</t>
  </si>
  <si>
    <t>An update is not visible to clients until an account manager releases it</t>
  </si>
  <si>
    <t>FR159</t>
  </si>
  <si>
    <t>SH-FR-018</t>
  </si>
  <si>
    <t>Managed-service updates outside the tool</t>
  </si>
  <si>
    <t>The solution shall allow regulatory updates for managed-service-only clients to remain delivered by account managers rather than through the tool</t>
  </si>
  <si>
    <t>FR160</t>
  </si>
  <si>
    <t>SH-FR-019</t>
  </si>
  <si>
    <t>Source definition on curated updates</t>
  </si>
  <si>
    <t>The solution shall allow subject-matter staff to attach the governing regulatory definition or source to a curated update, so it can be given to a client who disputes the interpretation</t>
  </si>
  <si>
    <t>FR161</t>
  </si>
  <si>
    <t>SH-FR-020</t>
  </si>
  <si>
    <t>SH-05</t>
  </si>
  <si>
    <t>Regulatory update archive and dashboard</t>
  </si>
  <si>
    <t>Archive of past updates</t>
  </si>
  <si>
    <t>The solution shall give each hybrid client access to every regulatory update previously sent to it</t>
  </si>
  <si>
    <t>Hybrid clients want access to every update sent and a view of past, current and potential regulation.</t>
  </si>
  <si>
    <t>A hybrid client can list and open every update issued to it since it subscribed</t>
  </si>
  <si>
    <t>SH-04.</t>
  </si>
  <si>
    <t>FR162</t>
  </si>
  <si>
    <t>SH-FR-021</t>
  </si>
  <si>
    <t>Past, present and future regulations view</t>
  </si>
  <si>
    <t>The solution shall give hybrid clients an interactive view of past, current and potential future regulations</t>
  </si>
  <si>
    <t>FR163</t>
  </si>
  <si>
    <t>SH-FR-022</t>
  </si>
  <si>
    <t>SH-06</t>
  </si>
  <si>
    <t>Module notifications and reminders</t>
  </si>
  <si>
    <t>Renewal and due-item reminders</t>
  </si>
  <si>
    <t>The solution shall notify client users of upcoming renewals and items coming due, without their having to visit the dashboard</t>
  </si>
  <si>
    <t>Users should be told what needs attention rather than having to visit dashboards.</t>
  </si>
  <si>
    <t>Underlying module data.</t>
  </si>
  <si>
    <t>FR164</t>
  </si>
  <si>
    <t>SH-FR-023</t>
  </si>
  <si>
    <t>Expiring-document notice</t>
  </si>
  <si>
    <t>The solution shall notify client users of required documents that have expired or are about to expire</t>
  </si>
  <si>
    <t>FR165</t>
  </si>
  <si>
    <t>SH-FR-024</t>
  </si>
  <si>
    <t>Client intake activity alert</t>
  </si>
  <si>
    <t>The solution shall alert the project team when a client comments on or locks its intake</t>
  </si>
  <si>
    <t>When a client adds a comment or locks intake, the assigned project team receives an alert</t>
  </si>
  <si>
    <t>FR166</t>
  </si>
  <si>
    <t>SH-FR-025</t>
  </si>
  <si>
    <t>Periodic intake review prompt</t>
  </si>
  <si>
    <t>The solution shall issue a notification every six months prompting review of all intake information</t>
  </si>
  <si>
    <t>A review notification is issued semi-annually for each client's intake; recipient to be confirmed</t>
  </si>
  <si>
    <t>FR167</t>
  </si>
  <si>
    <t>NFR-001</t>
  </si>
  <si>
    <t>Non-functional</t>
  </si>
  <si>
    <t>NFR</t>
  </si>
  <si>
    <t>Jurisdictional scope</t>
  </si>
  <si>
    <t>Domestic US jurisdictional scope</t>
  </si>
  <si>
    <t>The solution shall support US jurisdictions only for licensing requirements, state rules, verification and reporting. Non-US jurisdictions are out of scope.</t>
  </si>
  <si>
    <t>Both services are, by definition, US state obligations.</t>
  </si>
  <si>
    <t>Only US jurisdictions can be configured or reported on; whether US territories and the District of Columbia are included is to be confirmed.</t>
  </si>
  <si>
    <t>NFR1</t>
  </si>
  <si>
    <t>NFR-002</t>
  </si>
  <si>
    <t>Accuracy</t>
  </si>
  <si>
    <t>Accuracy of rule-based DPT results</t>
  </si>
  <si>
    <t>The solution shall produce triggered reports, due dates and scenario results that agree with the applicable state rules. Accuracy and reliability are the quality attributes the DPT service competes on, ahead of speed.</t>
  </si>
  <si>
    <t>Clients buy the DPT service for accurate, reliable results; errors lead to missed or unnecessary reports and penalties.</t>
  </si>
  <si>
    <t>An agreed regression set of known pricing events gives the expected triggered reports and due dates with no discrepancies. The reference set and its owner are to be confirmed.</t>
  </si>
  <si>
    <t>NFR2</t>
  </si>
  <si>
    <t>NFR-003</t>
  </si>
  <si>
    <t>Time-correct rule application</t>
  </si>
  <si>
    <t>The solution shall evaluate each pricing event against the rules, thresholds and report start and discontinuation dates in effect on that event's date. A later rule change shall not alter results for events governed by earlier rules.</t>
  </si>
  <si>
    <t>Re-running a historical lookback after a rule change gives unchanged results for events dated before the change's effective date, and applies the new rule to events on or after it.</t>
  </si>
  <si>
    <t>NFR3</t>
  </si>
  <si>
    <t>NFR-004</t>
  </si>
  <si>
    <t>Maintainability</t>
  </si>
  <si>
    <t>Adaptability to regulatory change</t>
  </si>
  <si>
    <t>The solution shall accommodate new states, changes to existing state requirements, and repeals as regulation evolves, without loss of the rules that govern earlier events.</t>
  </si>
  <si>
    <t>State requirements change several times a year; the platform must absorb change without losing earlier rules.</t>
  </si>
  <si>
    <t>To be agreed during discovery. The maximum time from enactment to rule update, and who maintains rules, are not stated.</t>
  </si>
  <si>
    <t>NFR4</t>
  </si>
  <si>
    <t>NFR-005</t>
  </si>
  <si>
    <t>Calculation precision and rounding</t>
  </si>
  <si>
    <t>The solution shall round dollar values to the cent and percentages to one decimal place, and shall carry up to ten decimal places in scenario calculations.</t>
  </si>
  <si>
    <t>Displayed and exported dollar values show cents and percentages show one decimal place; threshold comparisons use the stated precision. Rounding direction (to nearest or up) is to be confirmed.</t>
  </si>
  <si>
    <t>NFR5</t>
  </si>
  <si>
    <t>NFR-006</t>
  </si>
  <si>
    <t>Interoperability / outputs</t>
  </si>
  <si>
    <t>State-mandated output formats</t>
  </si>
  <si>
    <t>The solution shall produce each state report in the file format that state requires for that report.</t>
  </si>
  <si>
    <t>States mandate specific file formats, and users need editable copies of outputs.</t>
  </si>
  <si>
    <t>For each state report, the generated file matches the format on the agreed state format list (spreadsheet, document, delimited text or PDF). The list itself is to be confirmed.</t>
  </si>
  <si>
    <t>NFR6</t>
  </si>
  <si>
    <t>NFR-007</t>
  </si>
  <si>
    <t>Downloadable outputs</t>
  </si>
  <si>
    <t>The solution shall let users download generated DPT outputs (scenario results, lookback results and reports) in an editable spreadsheet format as well as the submission format. The download format for State Licensing applications is to be confirmed.</t>
  </si>
  <si>
    <t>Each listed DPT output can be downloaded as an editable spreadsheet and in its submission format. The State Licensing application download format is to be confirmed.</t>
  </si>
  <si>
    <t>NFR7</t>
  </si>
  <si>
    <t>NFR-008</t>
  </si>
  <si>
    <t>Security and identity</t>
  </si>
  <si>
    <t>The solution shall require every internal and client user to authenticate before accessing any data, document or function.</t>
  </si>
  <si>
    <t>The platform holds sensitive personal data, state credentials and confidential pricing information for many clients.</t>
  </si>
  <si>
    <t>No screen, file or data request returns content to an unauthenticated session. Authentication strength is to be confirmed.</t>
  </si>
  <si>
    <t>NFR10</t>
  </si>
  <si>
    <t>NFR-009</t>
  </si>
  <si>
    <t>Role- and assignment-based access</t>
  </si>
  <si>
    <t>The solution shall limit each user to the functions permitted by that user's role and to the clients, organisations, companies and projects assigned to that user. Internal administration functions shall be unavailable to client users.</t>
  </si>
  <si>
    <t>For each defined role, a test user can reach only permitted functions and assigned records. The role set is to be confirmed.</t>
  </si>
  <si>
    <t>NFR11</t>
  </si>
  <si>
    <t>NFR-010</t>
  </si>
  <si>
    <t>Separation of client data between clients</t>
  </si>
  <si>
    <t>The solution shall prevent any client user from viewing or changing another client's data, documents or results.</t>
  </si>
  <si>
    <t>A client user attempting to reach another client's records, by navigation or by direct request, receives no data.</t>
  </si>
  <si>
    <t>NFR12</t>
  </si>
  <si>
    <t>NFR-011</t>
  </si>
  <si>
    <t>Privacy and data protection</t>
  </si>
  <si>
    <t>Protection of sensitive and confidential information</t>
  </si>
  <si>
    <t>The solution shall protect sensitive personal information (such as social security numbers, dates of birth, background information and address history), state-system access credentials, and client confidential pricing and trade-secret information against unauthorised disclosure.</t>
  </si>
  <si>
    <t>Intake collects regulated personal data; DPT holds trade-secret information.</t>
  </si>
  <si>
    <t>To be agreed during discovery. The specific controls (encryption, masking, retention) are not established; see NFR23, NFR37 and NFR41.</t>
  </si>
  <si>
    <t>NFR14</t>
  </si>
  <si>
    <t>NFR-012</t>
  </si>
  <si>
    <t>Data retention</t>
  </si>
  <si>
    <t>Retention of SL licence history</t>
  </si>
  <si>
    <t>The solution shall retain the historical licence and task information now held outside the portal (status notes, deficiencies, key dates, linked people), so that it stays retrievable after consolidation.</t>
  </si>
  <si>
    <t>Licence and report history must remain available for compliance and historical lookbacks.</t>
  </si>
  <si>
    <t>To be agreed during discovery. The scope of historical data and the retention period are not stated.</t>
  </si>
  <si>
    <t>NFR15</t>
  </si>
  <si>
    <t>NFR-013</t>
  </si>
  <si>
    <t>Retention of DPT history for discontinued requirements</t>
  </si>
  <si>
    <t>The solution shall keep reports, rules and pricing history for repealed or discontinued state requirements and archived products accessible for historical purposes.</t>
  </si>
  <si>
    <t>After a requirement is discontinued or a product archived, its past reports and rule definitions remain retrievable and usable in lookbacks. Retention period to be confirmed.</t>
  </si>
  <si>
    <t>NFR16</t>
  </si>
  <si>
    <t>NFR-014</t>
  </si>
  <si>
    <t>Usability</t>
  </si>
  <si>
    <t>Real-time experience under rule conflicts</t>
  </si>
  <si>
    <t>When the solution cannot resolve a rule conflict or difference in interpretation, a self-service client shall still be able to continue working in real time, rather than meeting a blocking error.</t>
  </si>
  <si>
    <t>Self-service clients must be able to keep working when rules are ambiguous.</t>
  </si>
  <si>
    <t>NFR17</t>
  </si>
  <si>
    <t>NFR-015</t>
  </si>
  <si>
    <t>Scalability and capacity</t>
  </si>
  <si>
    <t>Capacity for State Licensing workload</t>
  </si>
  <si>
    <t>The solution shall support State Licensing at current managed-service volumes: about 10,000 licences under management, about 5,000 change tasks a year, about 2,500–3,000 new licences a year, about 800 tasks per analyst, 34 internal staff and about 250 client organisations. [Release check RC-V1: volumes to be confirmed from system data and approved for disclosure.]</t>
  </si>
  <si>
    <t>The platform must support current managed-service volumes from the outset.</t>
  </si>
  <si>
    <t>The solution operates with a data set at these volumes. Volumes must be confirmed from system data; response-time targets are to be confirmed.</t>
  </si>
  <si>
    <t>NFR18</t>
  </si>
  <si>
    <t>NFR-016</t>
  </si>
  <si>
    <t>Capacity for DPT coverage</t>
  </si>
  <si>
    <t>The solution shall support DPT at current coverage: 21 states with requirements (and growing), about 1,000 NDCs a year with hundreds of state submissions, and the current client base of approximately 65–70 client organisations. [Release check RC-V1: volumes to be confirmed and approved for disclosure.]</t>
  </si>
  <si>
    <t>The solution operates with all 21 states' rules and a year of NDC and submission volume. The growth allowance is to be confirmed.</t>
  </si>
  <si>
    <t>NFR19</t>
  </si>
  <si>
    <t>NFR-017</t>
  </si>
  <si>
    <t>Content quality</t>
  </si>
  <si>
    <t>Curated regulatory content quality</t>
  </si>
  <si>
    <t>The solution shall release regulatory updates to subscribers only after SME curation (interpretation and recommended action), with account managers controlling what is sent.</t>
  </si>
  <si>
    <t>The value of the regulatory subscription depends on expert curation, not raw alerts.</t>
  </si>
  <si>
    <t>No regulatory update reaches a subscriber without a recorded SME curation and account-manager release.</t>
  </si>
  <si>
    <t>NFR20</t>
  </si>
  <si>
    <t>NFR-018</t>
  </si>
  <si>
    <t>Timeliness</t>
  </si>
  <si>
    <t>Due-date visibility within advance-notice windows</t>
  </si>
  <si>
    <t>The solution shall show each client's upcoming report obligations and due dates early enough to meet state advance-notice windows (up to 60 days before a price increase) and post-increase deadlines.</t>
  </si>
  <si>
    <t>Some states require notice 60 days before a price increase; late inputs make reports late.</t>
  </si>
  <si>
    <t>For a modelled price increase, every obligation, including any 60-day advance notification, is listed with its due date before that date arrives. Notification lead times are to be confirmed.</t>
  </si>
  <si>
    <t>NFR21</t>
  </si>
  <si>
    <t>NFR-019</t>
  </si>
  <si>
    <t>Operational measurement</t>
  </si>
  <si>
    <t>Measurable on-time submission</t>
  </si>
  <si>
    <t>The solution shall let Two Labs measure on-time report submission and the time to prepare and submit a report.</t>
  </si>
  <si>
    <t>On-time submission is the clients' main concern and a measure of service quality.</t>
  </si>
  <si>
    <t>To be agreed during discovery. No on-time or turnaround target is stated.</t>
  </si>
  <si>
    <t>NFR22</t>
  </si>
  <si>
    <t>SL-DR-001</t>
  </si>
  <si>
    <t>Data</t>
  </si>
  <si>
    <t>Client company and ownership data</t>
  </si>
  <si>
    <t>The solution shall hold, for each client company: company name, ownership type, stock symbol, tax ID, state and date of incorporation, website, and parent-company details including name and percentage ownership. Multi-level ownership (grandparent and great-grandparent companies) and a mappable parent-company ZIP code are requested additions. Source of record: client-entered intake</t>
  </si>
  <si>
    <t>A company record cannot be marked complete while any required company or parent-company field is empty</t>
  </si>
  <si>
    <t>DR1</t>
  </si>
  <si>
    <t>SL-DR-002</t>
  </si>
  <si>
    <t>Licensed facility, CMO and 3PL data</t>
  </si>
  <si>
    <t>The solution shall hold, for each licensed facility: name, all other trade or business names, address, county, phone and fax. It shall also hold contract manufacturing (CMO) and third-party logistics (3PL) facility details, collected only when the client's answers make them applicable. Source of record: client-entered intake</t>
  </si>
  <si>
    <t>The CMO or 3PL section appears in the intake only after the client answers that a CMO or 3PL is used; required facility fields are flagged until completed</t>
  </si>
  <si>
    <t>DR2</t>
  </si>
  <si>
    <t>SL-DR-003</t>
  </si>
  <si>
    <t>Officer and representative data</t>
  </si>
  <si>
    <t>The solution shall hold, for each officer and representative: identity, each designation held (for example authorised representative, designated representative, officer), ten years of residential address history, date of birth, social security number and background information. One person may hold several designations</t>
  </si>
  <si>
    <t>Intake cannot be submitted as complete unless it has exactly one authorised representative and exactly one designated representative, and every representative has ten years of address history</t>
  </si>
  <si>
    <t>DR3</t>
  </si>
  <si>
    <t>SL-DR-004</t>
  </si>
  <si>
    <t>Licensing products, contacts and activity data</t>
  </si>
  <si>
    <t>The solution shall hold the client's products, licensing contacts and the activity facts that drive licensing (for example sales representatives, virtual-manufacturer activity, expected officer states). Source of record: client-entered intake</t>
  </si>
  <si>
    <t>DR5</t>
  </si>
  <si>
    <t>SL-DR-005</t>
  </si>
  <si>
    <t>Filing-plan reference data</t>
  </si>
  <si>
    <t>The solution shall hold reference data listing every distribution model, state licence and licence type, and the client activities that make each licence required, so that a client's filing plan can be determined. Changes are governed by a designated compliance manager and apply to future clients. Source of record today: a spreadsheet resource maintained by the compliance manager; future ownership to be confirmed</t>
  </si>
  <si>
    <t>DR6</t>
  </si>
  <si>
    <t>SL-DR-006</t>
  </si>
  <si>
    <t>Document-requirement reference data</t>
  </si>
  <si>
    <t>The solution shall hold reference data linking distribution models and client characteristics (sampling, use of a 3PL, use of a CMO, foreign status, home state) to the documents each state requires. Source of record today: a separate spreadsheet resource; future ownership to be confirmed</t>
  </si>
  <si>
    <t>DR7</t>
  </si>
  <si>
    <t>SL-DR-007</t>
  </si>
  <si>
    <t>Project document checklist records</t>
  </si>
  <si>
    <t>The solution shall hold, for each project, the client-specific list of required documents, each item's upload status and the file uploaded against it, the upload date and time, and overall completion progress. Newly required documents can be added to an existing project</t>
  </si>
  <si>
    <t>The checklist shows completed and total item counts and a completion percentage for each project</t>
  </si>
  <si>
    <t>DR8</t>
  </si>
  <si>
    <t>SL-DR-008</t>
  </si>
  <si>
    <t>State application form templates and field mappings</t>
  </si>
  <si>
    <t>The solution shall hold each state's application forms by state and product type, form details, and the mapping between intake data fields and form fields. Form versions are checked monthly against those published by boards of pharmacy. Source of record for form versions: state boards of pharmacy</t>
  </si>
  <si>
    <t>DR10</t>
  </si>
  <si>
    <t>SL-DR-009</t>
  </si>
  <si>
    <t>Application review records</t>
  </si>
  <si>
    <t>The solution shall hold, for each generated application: the downloadable document, the client's review status (Needs Revision or Approved) and the review comments</t>
  </si>
  <si>
    <t>The client can set only Needs Revision or Approved on an application, and the status and comments are shown with it</t>
  </si>
  <si>
    <t>DR11</t>
  </si>
  <si>
    <t>SL-DR-010</t>
  </si>
  <si>
    <t>Document validity and expiry information</t>
  </si>
  <si>
    <t>The solution shall hold, for each collected document that can lapse, the information needed to tell when it is or may become expired (for example a certificate of good standing that must be dated within the last six months)</t>
  </si>
  <si>
    <t>A document past its validity period is shown to the client as expired or expiring</t>
  </si>
  <si>
    <t>DR9</t>
  </si>
  <si>
    <t>SL-DR-011</t>
  </si>
  <si>
    <t>Licence records</t>
  </si>
  <si>
    <t>The solution shall hold one record per managed licence: client, facility or entity, state, licence type, status and status notes, key dates (sent to state, sent to client for signature, received back, issued, expiry/renewal), the people tied to the licence, and whether filing is online. Records must be retrievable by state and licence type to identify affected clients. Stated volume: about 10,000 licences under management and about 5,000 change tasks a year. Target: a single source of record within the platform</t>
  </si>
  <si>
    <t>A query by state and licence type returns every client holding that licence</t>
  </si>
  <si>
    <t>DR12</t>
  </si>
  <si>
    <t>SL-DR-012</t>
  </si>
  <si>
    <t>Deficiency and state correspondence records</t>
  </si>
  <si>
    <t>The solution shall hold, for each licence, its deficiencies and all communication to and from the state, retained with the licence</t>
  </si>
  <si>
    <t>DR13</t>
  </si>
  <si>
    <t>SL-DR-013</t>
  </si>
  <si>
    <t>State-system access details</t>
  </si>
  <si>
    <t>The solution shall hold, for each licence filed online, the access details needed to use the relevant state system, and shall give clients the access information needed for renewals</t>
  </si>
  <si>
    <t>DR14</t>
  </si>
  <si>
    <t>SL-DR-014</t>
  </si>
  <si>
    <t>Retention of historical licence-task data</t>
  </si>
  <si>
    <t>The solution shall retain or capture the historical licence and task data now held in the current task-tracking system when that tool is retired. Scope of data to carry over to be confirmed. Source of record for history: the current task-tracking system</t>
  </si>
  <si>
    <t>DR16</t>
  </si>
  <si>
    <t>SL-DR-015</t>
  </si>
  <si>
    <t>Renewal data</t>
  </si>
  <si>
    <t>The solution shall hold, for each licence, its next renewal due date, the documents and cost required for renewal and how to log in, and shall ensure every issued licence has a tracked next renewal so that no renewal is lost</t>
  </si>
  <si>
    <t>Every issued licence has a next-renewal record with a due date</t>
  </si>
  <si>
    <t>DR15</t>
  </si>
  <si>
    <t>SL-DR-016</t>
  </si>
  <si>
    <t>Facility licence verification results</t>
  </si>
  <si>
    <t>The solution shall hold, for each facility licence checked, whether it is issued and active, and when it was checked, as confirmed with the relevant board of pharmacy. Scope: facility licences only. Source of record: state boards of pharmacy (external); acquisition method to be proposed</t>
  </si>
  <si>
    <t>DR17</t>
  </si>
  <si>
    <t>DPT-DR-001</t>
  </si>
  <si>
    <t>Organisation and contact data</t>
  </si>
  <si>
    <t>The solution shall hold, for each client organisation: name, primary contact name, email and phone, optional logo and additional contacts</t>
  </si>
  <si>
    <t>An organisation cannot be created without a name and a primary contact name, email and phone</t>
  </si>
  <si>
    <t>DR19</t>
  </si>
  <si>
    <t>DPT-DR-002</t>
  </si>
  <si>
    <t>Product and NDC data</t>
  </si>
  <si>
    <t>The solution shall hold, for each organisation, its products (name, description, archived state) and each product's NDCs (unique number and name), classified as branded, generic or biosimilar, with reference-product name, WAC and approval date for biosimilars. Archived products keep past reports and information. Stated volume: hundreds of submissions a year across about 1,000 or more NDCs</t>
  </si>
  <si>
    <t>No two NDC records share the same NDC number</t>
  </si>
  <si>
    <t>DR20</t>
  </si>
  <si>
    <t>DPT-DR-003</t>
  </si>
  <si>
    <t>The solution shall hold an effective-dated WAC price history for each NDC (package and per-unit price), together with launch date, PDUFA date and action date, so that rules can be evaluated against prices in effect at any date</t>
  </si>
  <si>
    <t>No NDC has two prices with the same effective date</t>
  </si>
  <si>
    <t>DR21</t>
  </si>
  <si>
    <t>DPT-DR-004</t>
  </si>
  <si>
    <t>Effective-dated system facts and thresholds</t>
  </si>
  <si>
    <t>The solution shall hold system-level values that apply over a date range (for example the Medicare Part D threshold), together with each report's reporting start and discontinuation dates, so that every evaluation uses the values in effect on the relevant date</t>
  </si>
  <si>
    <t>A report does not trigger for events after its discontinuation date; a report with no discontinuation date stays active</t>
  </si>
  <si>
    <t>DR25</t>
  </si>
  <si>
    <t>DPT-DR-005</t>
  </si>
  <si>
    <t>State report catalogue and rule definitions</t>
  </si>
  <si>
    <t>The solution shall hold, for each state report: state, code, name, type, frequency, due-date rule, trigger rule with a human-readable explanation, link to the governing law, link to the state submission channel, and the state's required output format (spreadsheet, CSV, document or PDF). Two Labs regulatory staff decide rule content</t>
  </si>
  <si>
    <t>DR26</t>
  </si>
  <si>
    <t>DPT-DR-006</t>
  </si>
  <si>
    <t>Triggered report instances and statuses</t>
  </si>
  <si>
    <t>The solution shall hold, for each triggered report: organisation, product, NDC, report, due date, frequency, the facts that triggered it, status (Incomplete, Not Yet Submitted, Submitted to State, Changes Requested, Accepted), a copy of what was submitted and the acceptance date</t>
  </si>
  <si>
    <t>A report cannot move to Submitted to State until a copy of the submission is attached</t>
  </si>
  <si>
    <t>DR27</t>
  </si>
  <si>
    <t>DPT-DR-007</t>
  </si>
  <si>
    <t>Scenario modelling output</t>
  </si>
  <si>
    <t>The solution shall produce, for each price-increase scenario: simulation type, client, product, NDC, PDUFA date, original price and its effective date, maximum increase as a percentage and as a dollar value, price-increase date, and triggered reports with due dates. Saved scenarios shall be comparable and exportable as a spreadsheet</t>
  </si>
  <si>
    <t>Each scenario output row contains every listed field</t>
  </si>
  <si>
    <t>DR28</t>
  </si>
  <si>
    <t>DPT-DR-008</t>
  </si>
  <si>
    <t>Compendia WAC history input</t>
  </si>
  <si>
    <t>The solution shall accept standardised compendia (Medi-Span) WAC history files as the pricing-history input for historical lookback, validating them before use. Source of record for historical pricing: the compendia, which states treat as their source of truth</t>
  </si>
  <si>
    <t>An invalid compendia file is rejected with the failing rows identified</t>
  </si>
  <si>
    <t>DR22</t>
  </si>
  <si>
    <t>DPT-DR-009</t>
  </si>
  <si>
    <t>Historical lookback output</t>
  </si>
  <si>
    <t>The solution shall produce, for each historical pricing event: product, NDC, date of increase, percentage increase, current and new WAC, and every report that should have been filed with its due date, in a client-ready spreadsheet, for reconciliation against what the client actually submitted</t>
  </si>
  <si>
    <t>Each event lists its triggered reports and due dates calculated under the rules in effect on that event's date</t>
  </si>
  <si>
    <t>DR29</t>
  </si>
  <si>
    <t>DPT-DR-010</t>
  </si>
  <si>
    <t>Report detail data</t>
  </si>
  <si>
    <t>The solution shall hold the report-specific information each triggered report needs, including costs (R&amp;D, marketing, manufacturing, distribution), pricing methodology and price-increase rationale, acquisition details, patent and designation data, projected patient volumes and state-specific fields. Data common to several reports (manufacturer, NDC, WAC) shall be captured once and reused. Source of record: the client (manufacturer)</t>
  </si>
  <si>
    <t>An NDC entered once appears in every report that needs it without re-keying</t>
  </si>
  <si>
    <t>DR23</t>
  </si>
  <si>
    <t>DPT-DR-011</t>
  </si>
  <si>
    <t>The solution shall record, for each report field that allows it, whether the manufacturer claims trade-secret protection and its justification, and shall accept the trade-secret document the manufacturer creates, the only supporting document DPT reports need</t>
  </si>
  <si>
    <t>DR24</t>
  </si>
  <si>
    <t>DPT-DR-012</t>
  </si>
  <si>
    <t>State reference library content</t>
  </si>
  <si>
    <t>The solution shall hold, per state, current guidance, statutes and report templates, refreshed when they change and linked from rules and triggered reports. Source of record today: an internally maintained document library; future ownership to be confirmed</t>
  </si>
  <si>
    <t>DR31</t>
  </si>
  <si>
    <t>DPT-DR-013</t>
  </si>
  <si>
    <t>Pending legislation status data</t>
  </si>
  <si>
    <t>The solution shall hold, for each tracked pending bill: state, bill identifier, status and upcoming milestones. Source today: a third-party legislative-tracking service</t>
  </si>
  <si>
    <t>DR32</t>
  </si>
  <si>
    <t>SH-DR-001</t>
  </si>
  <si>
    <t>User, role and assignment data</t>
  </si>
  <si>
    <t>The solution shall hold each user's identity, role and assignments to client organisations, projects or products, for internal and client users</t>
  </si>
  <si>
    <t>DR34</t>
  </si>
  <si>
    <t>SH-DR-002</t>
  </si>
  <si>
    <t>Regulatory update archive</t>
  </si>
  <si>
    <t>The solution shall retain every regulatory update sent to clients, with its interpretation and recommended action, and make the archive available to hybrid clients. Account managers control what is sent</t>
  </si>
  <si>
    <t>DR35</t>
  </si>
  <si>
    <t>Non-functional categories — targets to be confirmed</t>
  </si>
  <si>
    <t>Two Labs has not set targets. Describe the level your base price assumes, how it will be demonstrated, and the cost of higher levels.</t>
  </si>
  <si>
    <t>Topic</t>
  </si>
  <si>
    <t>What to describe</t>
  </si>
  <si>
    <t>Acceptance</t>
  </si>
  <si>
    <t>Level assumed in base price</t>
  </si>
  <si>
    <t>How compliance will be demonstrated</t>
  </si>
  <si>
    <t>Higher levels available and their cost</t>
  </si>
  <si>
    <t>Operating impact</t>
  </si>
  <si>
    <t>NFR-C-001</t>
  </si>
  <si>
    <t>Encryption of data in transit and at rest</t>
  </si>
  <si>
    <t>Describe encryption standards, key management and scope (including stored documents and backups).</t>
  </si>
  <si>
    <t>Targets to be agreed with Two Labs; vendor to state the level its base price assumes.</t>
  </si>
  <si>
    <t>NFR23</t>
  </si>
  <si>
    <t>NFR-C-002</t>
  </si>
  <si>
    <t>Multi-factor authentication and single sign-on</t>
  </si>
  <si>
    <t>Describe MFA methods for internal and client users, and support for per-client single sign-on with a client's identity provider.</t>
  </si>
  <si>
    <t>NFR24, FR245, FR246</t>
  </si>
  <si>
    <t>NFR-C-003</t>
  </si>
  <si>
    <t>Password, lockout and account recovery</t>
  </si>
  <si>
    <t>Describe password policy, lockout, and the account-recovery mechanism, including how recovery secrets are protected.</t>
  </si>
  <si>
    <t>NFR25, NFR26</t>
  </si>
  <si>
    <t>NFR-C-004</t>
  </si>
  <si>
    <t>Session management</t>
  </si>
  <si>
    <t>Describe inactivity timeout behaviour, including advance warning to users before a session expires.</t>
  </si>
  <si>
    <t>NFR27</t>
  </si>
  <si>
    <t>NFR-C-005</t>
  </si>
  <si>
    <t>Tenant isolation</t>
  </si>
  <si>
    <t>Describe the tenant isolation model, how separation of client data is validated, and whether dedicated environments can be offered.</t>
  </si>
  <si>
    <t>NFR28, FR247</t>
  </si>
  <si>
    <t>NFR-C-006</t>
  </si>
  <si>
    <t>Role model and segregation of duties</t>
  </si>
  <si>
    <t>Propose an internal and client role model with segregation of duties; the target role set will be confirmed in discovery.</t>
  </si>
  <si>
    <t>NFR29, FR248</t>
  </si>
  <si>
    <t>NFR-C-007</t>
  </si>
  <si>
    <t>Client administration of users and access review</t>
  </si>
  <si>
    <t>Describe whether client administrators can manage their own organisation's users, and how periodic access reviews would be supported.</t>
  </si>
  <si>
    <t>FR250, FR251</t>
  </si>
  <si>
    <t>NFR-C-008</t>
  </si>
  <si>
    <t>Independent security assurance</t>
  </si>
  <si>
    <t>Describe how the solution and the vendor's delivery would support independent assurance (for example SOC 2 Type 2 or ISO/IEC 27001 scope) and a documented SDLC.</t>
  </si>
  <si>
    <t>NFR34</t>
  </si>
  <si>
    <t>NFR-C-009</t>
  </si>
  <si>
    <t>Security and penetration testing</t>
  </si>
  <si>
    <t>Describe security testing and independent penetration testing before go-live and on an ongoing cadence.</t>
  </si>
  <si>
    <t>NFR35</t>
  </si>
  <si>
    <t>NFR-C-010</t>
  </si>
  <si>
    <t>Availability and recovery</t>
  </si>
  <si>
    <t>Availability and support hours</t>
  </si>
  <si>
    <t>Propose an availability commitment and support hours for client-facing use, with the cost implications of each level offered.</t>
  </si>
  <si>
    <t>NFR31</t>
  </si>
  <si>
    <t>NFR-C-011</t>
  </si>
  <si>
    <t>Backup and recovery</t>
  </si>
  <si>
    <t>Describe backup of all data and client documents, and the recovery point and recovery time objectives the proposed solution can meet.</t>
  </si>
  <si>
    <t>NFR32, DR52</t>
  </si>
  <si>
    <t>NFR-C-012</t>
  </si>
  <si>
    <t>Performance</t>
  </si>
  <si>
    <t>Performance and load</t>
  </si>
  <si>
    <t>State the response times, bulk-upload sizes and concurrent-user levels the proposed solution is designed for, given the volumes in the capacity requirements.</t>
  </si>
  <si>
    <t>NFR33</t>
  </si>
  <si>
    <t>NFR-C-013</t>
  </si>
  <si>
    <t>Data residency</t>
  </si>
  <si>
    <t>Hosting location and data residency</t>
  </si>
  <si>
    <t>State where client data will be hosted, stored, processed and accessed (including by support personnel).</t>
  </si>
  <si>
    <t>NFR36</t>
  </si>
  <si>
    <t>NFR-C-014</t>
  </si>
  <si>
    <t>Retention, export and destruction</t>
  </si>
  <si>
    <t>Describe configurable retention periods, client data export at any time and secure return or destruction at contract end.</t>
  </si>
  <si>
    <t>NFR37</t>
  </si>
  <si>
    <t>NFR-C-015</t>
  </si>
  <si>
    <t>Observability</t>
  </si>
  <si>
    <t>Monitoring, alerting and log retention</t>
  </si>
  <si>
    <t>Describe production monitoring, active alerting and log retention sufficient to investigate incidents.</t>
  </si>
  <si>
    <t>NFR38</t>
  </si>
  <si>
    <t>NFR-C-016</t>
  </si>
  <si>
    <t>Regulatory update timeliness</t>
  </si>
  <si>
    <t>Describe how the solution supports timely release of curated regulatory updates; any commitment will be set by Two Labs.</t>
  </si>
  <si>
    <t>NFR39</t>
  </si>
  <si>
    <t>NFR-C-017</t>
  </si>
  <si>
    <t>Compatibility</t>
  </si>
  <si>
    <t>Supported browsers and devices</t>
  </si>
  <si>
    <t>State supported browsers and devices for internal and client users.</t>
  </si>
  <si>
    <t>NFR40</t>
  </si>
  <si>
    <t>NFR-C-018</t>
  </si>
  <si>
    <t>Privacy and data classification</t>
  </si>
  <si>
    <t>Describe how the solution supports classification, protection, retention and deletion of personal data (including social security numbers and dates of birth) and client trade-secret information.</t>
  </si>
  <si>
    <t>NFR41, DR37, DR38</t>
  </si>
  <si>
    <t>NFR-C-019</t>
  </si>
  <si>
    <t>Accessibility</t>
  </si>
  <si>
    <t>Accessibility conformance</t>
  </si>
  <si>
    <t>State the accessibility conformance level the client-facing screens will meet and how it will be evidenced.</t>
  </si>
  <si>
    <t>NFR48</t>
  </si>
  <si>
    <t>NFR-C-020</t>
  </si>
  <si>
    <t>Regulatory</t>
  </si>
  <si>
    <t>Validated-system controls</t>
  </si>
  <si>
    <t>State whether the solution could support validated-system controls (for example 21 CFR Part 11 or GxP change control) if Two Labs confirms they are required.</t>
  </si>
  <si>
    <t>NFR43</t>
  </si>
  <si>
    <t>NFR-C-021</t>
  </si>
  <si>
    <t>Liability support</t>
  </si>
  <si>
    <t>Evidence of functional accuracy for self-service output</t>
  </si>
  <si>
    <t>Describe how the solution could produce evidence of rule accuracy (for example a regression-test report against the rules) to accompany self-service output.</t>
  </si>
  <si>
    <t>NFR46, FR241</t>
  </si>
  <si>
    <t>Optional capabilities — price separately</t>
  </si>
  <si>
    <t>Two Labs may select any, all or none. Price each capability group separately on this sheet and in the One-time and Recurring schedules.</t>
  </si>
  <si>
    <t>Group</t>
  </si>
  <si>
    <t>Intended value</t>
  </si>
  <si>
    <t>Decision Two Labs must make</t>
  </si>
  <si>
    <t>Proposed approach</t>
  </si>
  <si>
    <t>Dependencies on base scope</t>
  </si>
  <si>
    <t>One-time price (USD) — group total on first row</t>
  </si>
  <si>
    <t>Annual recurring cost (USD) — group total on first row</t>
  </si>
  <si>
    <t>Assumptions</t>
  </si>
  <si>
    <t>OPT-01-01</t>
  </si>
  <si>
    <t>OPT-01</t>
  </si>
  <si>
    <t>Guided client self-determination of licensing requirements</t>
  </si>
  <si>
    <t>Client self-determination of licensing requirements by answering guided questions, returning licences needed, expiry, cost and required information.</t>
  </si>
  <si>
    <t>Let clients with little licensing expertise determine requirements through guided questions.</t>
  </si>
  <si>
    <t>Should clients determine requirements themselves, and in which stage?</t>
  </si>
  <si>
    <t>FR177</t>
  </si>
  <si>
    <t>OPT-01-02</t>
  </si>
  <si>
    <t>Guided prompts telling each user what to do next across setup, intake, documents, renewals, status and submission preparation.</t>
  </si>
  <si>
    <t>Is a guided "next step" experience required for self-service clients?</t>
  </si>
  <si>
    <t>FR178</t>
  </si>
  <si>
    <t>OPT-02-01</t>
  </si>
  <si>
    <t>OPT-02</t>
  </si>
  <si>
    <t>Faster change processing for existing clients</t>
  </si>
  <si>
    <t>Showing only what changed in the filing plan and document list when a client's situation changes, rather than a full rebuild.</t>
  </si>
  <si>
    <t>Show only what changed in a filing plan and document list, and apply rule changes to existing clients where appropriate.</t>
  </si>
  <si>
    <t>Is a change-delta view required for change processing?</t>
  </si>
  <si>
    <t>FR175</t>
  </si>
  <si>
    <t>OPT-02-02</t>
  </si>
  <si>
    <t>Applying changes in determination rules to existing clients' projects, not only to future clients.</t>
  </si>
  <si>
    <t>Should rule changes propagate to existing clients, and with what review?</t>
  </si>
  <si>
    <t>FR183</t>
  </si>
  <si>
    <t>OPT-03-01</t>
  </si>
  <si>
    <t>OPT-03</t>
  </si>
  <si>
    <t>State Licensing document handling refinements</t>
  </si>
  <si>
    <t>Presenting bulk-uploaded documents that cannot be placed automatically for manual assignment.</t>
  </si>
  <si>
    <t>Refine document placement, organisation and intake submission controls.</t>
  </si>
  <si>
    <t>How should unplaced or ambiguous documents be handled, and by whom?</t>
  </si>
  <si>
    <t>FR184</t>
  </si>
  <si>
    <t>OPT-03-02</t>
  </si>
  <si>
    <t>Organising project documents in a folder structure similar to the team's current document folders.</t>
  </si>
  <si>
    <t>What folder structure is wanted, and for which users?</t>
  </si>
  <si>
    <t>FR185</t>
  </si>
  <si>
    <t>OPT-03-03</t>
  </si>
  <si>
    <t>Preventing intake submission until all intake warnings are resolved.</t>
  </si>
  <si>
    <t>Must all warnings be cleared before an intake can be submitted?</t>
  </si>
  <si>
    <t>FR186</t>
  </si>
  <si>
    <t>OPT-04-01</t>
  </si>
  <si>
    <t>OPT-04</t>
  </si>
  <si>
    <t>Deficiency management, state letters, client reporting and exports</t>
  </si>
  <si>
    <t>Deficiency deadlines, ownership, escalation flags and ageing views.</t>
  </si>
  <si>
    <t>Serve larger clients that expect deficiency ageing, generated letters, scheduled reporting and structured licence data.</t>
  </si>
  <si>
    <t>Are deficiency deadlines and ageing views required?</t>
  </si>
  <si>
    <t>FR187</t>
  </si>
  <si>
    <t>OPT-04-02</t>
  </si>
  <si>
    <t>Scheduled and self-service licence reporting and data export for clients.</t>
  </si>
  <si>
    <t>Do clients need scheduled reports or exports, and in what forms?</t>
  </si>
  <si>
    <t>FR188</t>
  </si>
  <si>
    <t>OPT-04-03</t>
  </si>
  <si>
    <t>Generation of cover letters and change-notification letters to states.</t>
  </si>
  <si>
    <t>Should the solution generate state cover and notification letters?</t>
  </si>
  <si>
    <t>FR189</t>
  </si>
  <si>
    <t>OPT-04-04</t>
  </si>
  <si>
    <t>Licence data structured by company, region and site, tagged to regulated product categories, with exportable and scheduled reports.</t>
  </si>
  <si>
    <t>Should the platform adopt this structure for larger clients?</t>
  </si>
  <si>
    <t>DR53</t>
  </si>
  <si>
    <t>OPT-05-01</t>
  </si>
  <si>
    <t>OPT-05</t>
  </si>
  <si>
    <t>Electronic signature and notarisation routing</t>
  </si>
  <si>
    <t>In-solution routing of applications for signature and notarisation, using digital signature where the state accepts it.</t>
  </si>
  <si>
    <t>Move signing out of print-and-post where states accept digital signatures.</t>
  </si>
  <si>
    <t>Should signature routing move into the solution, and for which states?</t>
  </si>
  <si>
    <t>FR182</t>
  </si>
  <si>
    <t>OPT-06-01</t>
  </si>
  <si>
    <t>OPT-06</t>
  </si>
  <si>
    <t>Licence workflow consolidation and historical data load</t>
  </si>
  <si>
    <t>Replacement of the current task-tracking system with a business-controlled orchestration of licensing workflow rules.</t>
  </si>
  <si>
    <t>Bring licensing workflow and its history into one platform with a team-level status view.</t>
  </si>
  <si>
    <t>What should manage licence workflow, and who controls its rules?</t>
  </si>
  <si>
    <t>FR179</t>
  </si>
  <si>
    <t>OPT-06-02</t>
  </si>
  <si>
    <t>A consolidated red/amber/green view of what the team is ahead on, behind on and doing next.</t>
  </si>
  <si>
    <t>Is a team-level status view required, and on what measures?</t>
  </si>
  <si>
    <t>FR180</t>
  </si>
  <si>
    <t>OPT-06-03</t>
  </si>
  <si>
    <t>A record of whether, and with which systems, licence information continues to be exchanged with the current task-tracking system during transition.</t>
  </si>
  <si>
    <t>Will licence data be written back to the current system, or managed only in the new solution?</t>
  </si>
  <si>
    <t>FR190</t>
  </si>
  <si>
    <t>OPT-06-04</t>
  </si>
  <si>
    <t>Initial load of the platform from legacy data, including SL history now held outside the portal.</t>
  </si>
  <si>
    <t>Which legacy data must be loaded, and is migration in scope?</t>
  </si>
  <si>
    <t>FR243</t>
  </si>
  <si>
    <t>OPT-06-05</t>
  </si>
  <si>
    <t>A defined scope of legacy task-tracking data to load into the platform, and the system of entry for new customers.</t>
  </si>
  <si>
    <t>Which historical data must migrate, and where are new customers first created?</t>
  </si>
  <si>
    <t>DR39</t>
  </si>
  <si>
    <t>OPT-07-01</t>
  </si>
  <si>
    <t>OPT-07</t>
  </si>
  <si>
    <t>Reduced analyst effort on intake and document review</t>
  </si>
  <si>
    <t>Automated reading of client-supplied intake and documents against captured licensing knowledge, marking results above a confidence threshold as accepted and routing the rest to an analyst.</t>
  </si>
  <si>
    <t>Reduce analyst review effort while keeping a person in the loop until measured confidence justifies less review.</t>
  </si>
  <si>
    <t>Is confidence-gated automated review wanted, and what threshold and evidence end analyst review?</t>
  </si>
  <si>
    <t>FR168</t>
  </si>
  <si>
    <t>OPT-07-02</t>
  </si>
  <si>
    <t>Capture of analysts' licensing knowledge (form selection, state requirements, required documents, validation and error-prevention rules) as maintained reference content for automation.</t>
  </si>
  <si>
    <t>Which knowledge should be captured first, and who maintains it?</t>
  </si>
  <si>
    <t>FR169</t>
  </si>
  <si>
    <t>OPT-07-03</t>
  </si>
  <si>
    <t>Automated processing of a completed intake form into the solution, with a second automated quality check.</t>
  </si>
  <si>
    <t>Which intake steps are candidates for automation?</t>
  </si>
  <si>
    <t>FR233</t>
  </si>
  <si>
    <t>OPT-07-04</t>
  </si>
  <si>
    <t>Human review of every automated output at first, reducing to review of only outputs that fail defined confidence checks once confidence is built.</t>
  </si>
  <si>
    <t>What evidence ends full human review, and who decides?</t>
  </si>
  <si>
    <t>FR234</t>
  </si>
  <si>
    <t>OPT-07-05</t>
  </si>
  <si>
    <t>Staged human review of automated outputs that relaxes only as measured confidence grows ("crawl, walk, run").</t>
  </si>
  <si>
    <t>Where automation is adopted, what confidence evidence lets an output go without review?</t>
  </si>
  <si>
    <t>NFR44</t>
  </si>
  <si>
    <t>OPT-08-01</t>
  </si>
  <si>
    <t>OPT-08</t>
  </si>
  <si>
    <t>DPT client approvals, filing receipts and collaboration</t>
  </si>
  <si>
    <t>A client selects and approves one saved price-increase scenario in the tool.</t>
  </si>
  <si>
    <t>Replace email-based approval loops with in-tool approval, receipts and collaboration for DPT clients.</t>
  </si>
  <si>
    <t>Should scenario approval by the client move from email into the tool?</t>
  </si>
  <si>
    <t>FR193</t>
  </si>
  <si>
    <t>OPT-08-02</t>
  </si>
  <si>
    <t>A client reviews and approves prepared reports in the tool before they are filed.</t>
  </si>
  <si>
    <t>Should client report approval be captured in the tool, and by which client role?</t>
  </si>
  <si>
    <t>FR194</t>
  </si>
  <si>
    <t>OPT-08-03</t>
  </si>
  <si>
    <t>A filing receipt is issued to the client after a report is submitted on its behalf.</t>
  </si>
  <si>
    <t>Are filing receipts required, and what must they contain?</t>
  </si>
  <si>
    <t>FR195</t>
  </si>
  <si>
    <t>OPT-08-04</t>
  </si>
  <si>
    <t>A read-only client dashboard shows all the client's products and reporting timelines.</t>
  </si>
  <si>
    <t>Does this remain relevant beyond the client tracker in FR123?</t>
  </si>
  <si>
    <t>FR202</t>
  </si>
  <si>
    <t>OPT-08-05</t>
  </si>
  <si>
    <t>Users assign tasks and leave comments on organisations, products and reports.</t>
  </si>
  <si>
    <t>Are tasks and comments needed, and between which users?</t>
  </si>
  <si>
    <t>FR203</t>
  </si>
  <si>
    <t>OPT-08-06</t>
  </si>
  <si>
    <t>Users create their own accounts.</t>
  </si>
  <si>
    <t>Should client users self-register, and who approves them?</t>
  </si>
  <si>
    <t>FR204</t>
  </si>
  <si>
    <t>OPT-08-07</t>
  </si>
  <si>
    <t>A tiers-of-service page and self-onboarding flow.</t>
  </si>
  <si>
    <t>Is a self-onboarding flow wanted for standalone subscribers?</t>
  </si>
  <si>
    <t>FR205</t>
  </si>
  <si>
    <t>OPT-08-08</t>
  </si>
  <si>
    <t>Guided step-by-step entry of drug and report information for clients, with tips on where to find information.</t>
  </si>
  <si>
    <t>Is guided entry needed in place of template upload for clients?</t>
  </si>
  <si>
    <t>FR206</t>
  </si>
  <si>
    <t>OPT-08-09</t>
  </si>
  <si>
    <t>Clients are notified when product information or report approval is needed, and staff are notified when the client has responded.</t>
  </si>
  <si>
    <t>Which notifications are required, and through what channels?</t>
  </si>
  <si>
    <t>FR207</t>
  </si>
  <si>
    <t>OPT-08-10</t>
  </si>
  <si>
    <t>Tasks, comments and activity logs for DPT client collaboration.</t>
  </si>
  <si>
    <t>Are DPT client tasks and comments required?</t>
  </si>
  <si>
    <t>DR54</t>
  </si>
  <si>
    <t>OPT-09-01</t>
  </si>
  <si>
    <t>OPT-09</t>
  </si>
  <si>
    <t>DPT override persistence and handling of rule-interpretation conflicts</t>
  </si>
  <si>
    <t>An override marked to apply going forward updates master data (for example becomes the new WAC from an effective date) rather than applying only to the run.</t>
  </si>
  <si>
    <t>Avoid repeated overrides and keep self-service clients working when rule interpretations differ.</t>
  </si>
  <si>
    <t>Should an override persist as master data, from what effective date, and with what effect on other data?</t>
  </si>
  <si>
    <t>FR192</t>
  </si>
  <si>
    <t>OPT-09-02</t>
  </si>
  <si>
    <t>When rule interpretation conflicts (for example between statutes, regulations and user guides), the result is routed to a person to break the tie.</t>
  </si>
  <si>
    <t>Should conflicts be resolved at rule set-up, at run time, or both?</t>
  </si>
  <si>
    <t>FR225</t>
  </si>
  <si>
    <t>OPT-09-03</t>
  </si>
  <si>
    <t>When rules conflict, a plain message to the self-service client that interpretations differ, rather than an error.</t>
  </si>
  <si>
    <t>How should a rule conflict be presented to a self-service client?</t>
  </si>
  <si>
    <t>FR231</t>
  </si>
  <si>
    <t>OPT-09-04</t>
  </si>
  <si>
    <t>On a rule conflict, the client chooses interpretation A or B or enters its own, with the choice either remembered for future runs or flagged each time.</t>
  </si>
  <si>
    <t>Should a client's chosen interpretation persist, and who may set it?</t>
  </si>
  <si>
    <t>FR232</t>
  </si>
  <si>
    <t>OPT-09-05</t>
  </si>
  <si>
    <t>Overrides that update master data (for example a new WAC with an effective date) instead of applying to one run.</t>
  </si>
  <si>
    <t>Should an override persist to master data, and with what effective date?</t>
  </si>
  <si>
    <t>DR46</t>
  </si>
  <si>
    <t>OPT-09-06</t>
  </si>
  <si>
    <t>A stored record of each client's chosen interpretation when rules conflict, reused or flagged each time.</t>
  </si>
  <si>
    <t>How should client interpretation choices be stored and reused?</t>
  </si>
  <si>
    <t>DR47</t>
  </si>
  <si>
    <t>OPT-10-01</t>
  </si>
  <si>
    <t>OPT-10</t>
  </si>
  <si>
    <t>DPT rule maintenance by trained business administrators</t>
  </si>
  <si>
    <t>Rule criteria are explained in plain language.</t>
  </si>
  <si>
    <t>Shorten the time from a law change to a live rule, with plain-language rule explanations.</t>
  </si>
  <si>
    <t>Are plain-language rule explanations required, and for which users?</t>
  </si>
  <si>
    <t>FR198</t>
  </si>
  <si>
    <t>OPT-10-02</t>
  </si>
  <si>
    <t>Rules and triggers are maintained by non-developer administrators.</t>
  </si>
  <si>
    <t>Who should maintain rules, and through what review and testing controls?</t>
  </si>
  <si>
    <t>FR199</t>
  </si>
  <si>
    <t>OPT-10-03</t>
  </si>
  <si>
    <t>Rule maintenance by trained non-developer administrators within a defined turnaround.</t>
  </si>
  <si>
    <t>Who should maintain state rules in the target solution, and how quickly must changes be live?</t>
  </si>
  <si>
    <t>NFR45</t>
  </si>
  <si>
    <t>OPT-11-01</t>
  </si>
  <si>
    <t>OPT-11</t>
  </si>
  <si>
    <t>DPT extended analysis, outputs and history</t>
  </si>
  <si>
    <t>Lookback results are reconciled in the tool against what the client actually submitted, listing unfiled reports.</t>
  </si>
  <si>
    <t>Extend analysis, outputs and history beyond the required DPT capabilities.</t>
  </si>
  <si>
    <t>Should reconciliation be done in the tool, and what counts as evidence of a past filing?</t>
  </si>
  <si>
    <t>FR216</t>
  </si>
  <si>
    <t>OPT-11-02</t>
  </si>
  <si>
    <t>Maximum-increase analysis across many products and states at once, in combined or state-by-state view.</t>
  </si>
  <si>
    <t>Is multi-product, multi-state maximum analysis required?</t>
  </si>
  <si>
    <t>FR217</t>
  </si>
  <si>
    <t>OPT-11-03</t>
  </si>
  <si>
    <t>Scenario and analysis results are exported as a formatted client-ready workbook as well as raw data.</t>
  </si>
  <si>
    <t>Is a formatted client-ready export required for scenarios?</t>
  </si>
  <si>
    <t>FR218</t>
  </si>
  <si>
    <t>OPT-11-04</t>
  </si>
  <si>
    <t>Users add custom entries to the filing calendar.</t>
  </si>
  <si>
    <t>Are custom calendar entries needed, and by whom?</t>
  </si>
  <si>
    <t>FR219</t>
  </si>
  <si>
    <t>OPT-11-05</t>
  </si>
  <si>
    <t>Price increases subject to a state price-increase prohibition are identified.</t>
  </si>
  <si>
    <t>Which prohibitions apply, and should the solution flag them?</t>
  </si>
  <si>
    <t>FR220</t>
  </si>
  <si>
    <t>OPT-11-06</t>
  </si>
  <si>
    <t>Marketing or HCP WAC disclosure obligations are identified.</t>
  </si>
  <si>
    <t>Are disclosure obligations in scope of the module?</t>
  </si>
  <si>
    <t>FR221</t>
  </si>
  <si>
    <t>OPT-11-07</t>
  </si>
  <si>
    <t>Report templates and output formats are customisable.</t>
  </si>
  <si>
    <t>Is report customisation required, and by whom?</t>
  </si>
  <si>
    <t>FR222</t>
  </si>
  <si>
    <t>OPT-11-08</t>
  </si>
  <si>
    <t>A historic repository holds past reports, submission evidence and analyses for each client.</t>
  </si>
  <si>
    <t>Is a client-facing historic repository required beyond accepted-report history?</t>
  </si>
  <si>
    <t>FR223</t>
  </si>
  <si>
    <t>OPT-11-09</t>
  </si>
  <si>
    <t>Generated output exists for every state report, including those whose output was left on hold in the original build.</t>
  </si>
  <si>
    <t>Which state reports still lack generated output?</t>
  </si>
  <si>
    <t>FR224</t>
  </si>
  <si>
    <t>OPT-11-10</t>
  </si>
  <si>
    <t>Course-of-therapy calculations are automated.</t>
  </si>
  <si>
    <t>Is this still required, and for which states and reports?</t>
  </si>
  <si>
    <t>FR201</t>
  </si>
  <si>
    <t>OPT-11-11</t>
  </si>
  <si>
    <t>A structured record of reports the client actually submitted, so the lookback can be reconciled automatically.</t>
  </si>
  <si>
    <t>Should the client's submission history be held as data for automatic gap analysis?</t>
  </si>
  <si>
    <t>DR48</t>
  </si>
  <si>
    <t>OPT-11-12</t>
  </si>
  <si>
    <t>A historic repository of DPT reports, submission evidence and analyses.</t>
  </si>
  <si>
    <t>Is a historic report and evidence repository required?</t>
  </si>
  <si>
    <t>DR51</t>
  </si>
  <si>
    <t>OPT-12-01</t>
  </si>
  <si>
    <t>OPT-12</t>
  </si>
  <si>
    <t>One sign-in across both modules</t>
  </si>
  <si>
    <t>One sign-in through which each client user reaches every module their organisation holds.</t>
  </si>
  <si>
    <t>Clients holding both modules reach them through a single point of entry.</t>
  </si>
  <si>
    <t>Must a client holding both modules reach them through one sign-in, or may each module keep its own sign-in?</t>
  </si>
  <si>
    <t>FR140</t>
  </si>
  <si>
    <t>OPT-13-01</t>
  </si>
  <si>
    <t>OPT-13</t>
  </si>
  <si>
    <t>Business-configurable alerts</t>
  </si>
  <si>
    <t>Alerts defined as configurable rules, so that which alerts are sent, and to whom, can be changed without rework.</t>
  </si>
  <si>
    <t>Change which alerts are sent, and to whom, without rework; includes possible alerts across modules.</t>
  </si>
  <si>
    <t>Must alert rules and recipients be configurable by the business, or is a fixed alert set sufficient?</t>
  </si>
  <si>
    <t>FR226</t>
  </si>
  <si>
    <t>OPT-13-02</t>
  </si>
  <si>
    <t>A defined minimum alert set for each module in the first release.</t>
  </si>
  <si>
    <t>What is the minimum alert set for State Licensing and for DPT?</t>
  </si>
  <si>
    <t>FR227</t>
  </si>
  <si>
    <t>OPT-13-03</t>
  </si>
  <si>
    <t>Alerts to a client holding both modules when a change in one module affects its obligations in the other.</t>
  </si>
  <si>
    <t>Are cross-module alerts wanted at all, and if so only for clients holding both modules?</t>
  </si>
  <si>
    <t>FR228</t>
  </si>
  <si>
    <t>OPT-13-04</t>
  </si>
  <si>
    <t>DPT notifications to client users of reports due, missing information and approvals.</t>
  </si>
  <si>
    <t>Which DPT notifications are required, and for internal or client users?</t>
  </si>
  <si>
    <t>FR240</t>
  </si>
  <si>
    <t>OPT-14-01</t>
  </si>
  <si>
    <t>OPT-14</t>
  </si>
  <si>
    <t>Full activity and processing history</t>
  </si>
  <si>
    <t>A log of every system computation and user input across the solution, recording user, timestamp, prior value and new value.</t>
  </si>
  <si>
    <t>Traceability of every computation, input, access and export, beyond the required override record and company history.</t>
  </si>
  <si>
    <t>Is a system-wide audit trail required beyond the DPT override record and SL audit history?</t>
  </si>
  <si>
    <t>FR229</t>
  </si>
  <si>
    <t>OPT-14-02</t>
  </si>
  <si>
    <t>Logging of user access and data exports.</t>
  </si>
  <si>
    <t>Must access and export events be logged, and who reviews them?</t>
  </si>
  <si>
    <t>FR230</t>
  </si>
  <si>
    <t>OPT-14-03</t>
  </si>
  <si>
    <t>System-wide audit logging of all system computations, user inputs, access and exports, with timestamps and prior and new values, held so that it cannot be altered.</t>
  </si>
  <si>
    <t>Is a system-wide, tamper-evident audit log required beyond the override record and company history, and for how long must it be kept?</t>
  </si>
  <si>
    <t>NFR30</t>
  </si>
  <si>
    <t>OPT-14-04</t>
  </si>
  <si>
    <t>A system-wide audit trail of every computation and user input, with timestamp, prior value and new value.</t>
  </si>
  <si>
    <t>Is a system-wide audit trail required beyond the override record and company change history, and for how long is it kept?</t>
  </si>
  <si>
    <t>DR45</t>
  </si>
  <si>
    <t>OPT-15-01</t>
  </si>
  <si>
    <t>OPT-15</t>
  </si>
  <si>
    <t>Regulatory update delivery channels and targeting</t>
  </si>
  <si>
    <t>Regulatory updates offered through several channels (email distribution, in-portal news feed switched on by subscription, internal knowledge base).</t>
  </si>
  <si>
    <t>Deliver updates through more than one channel and target them to the clients a change affects.</t>
  </si>
  <si>
    <t>Which delivery channels are required for subscribers?</t>
  </si>
  <si>
    <t>FR237</t>
  </si>
  <si>
    <t>OPT-15-02</t>
  </si>
  <si>
    <t>Regulatory updates targeted to the clients a change affects, instead of to all clients.</t>
  </si>
  <si>
    <t>Should updates be targeted by affected client, and on what basis?</t>
  </si>
  <si>
    <t>FR239</t>
  </si>
  <si>
    <t>OPT-16-01</t>
  </si>
  <si>
    <t>OPT-16</t>
  </si>
  <si>
    <t>Faster preparation of curated regulatory content</t>
  </si>
  <si>
    <t>Automated collection of changing content from state regulatory websites for subject-matter review.</t>
  </si>
  <si>
    <t>Help subject-matter staff collect source changes and prepare first drafts, always released only after expert review.</t>
  </si>
  <si>
    <t>Is automated collection wanted behind SME curation, and for which states?</t>
  </si>
  <si>
    <t>FR235</t>
  </si>
  <si>
    <t>OPT-16-02</t>
  </si>
  <si>
    <t>System-written first drafts of regulatory interpretations, learning from past interpretations, for SME edit and approval before release.</t>
  </si>
  <si>
    <t>Is assisted drafting wanted, and what approval step must precede release?</t>
  </si>
  <si>
    <t>FR236</t>
  </si>
  <si>
    <t>OPT-17-01</t>
  </si>
  <si>
    <t>OPT-17</t>
  </si>
  <si>
    <t>Subscription usage measurement and limits</t>
  </si>
  <si>
    <t>Count the NDCs held under each DPT subscription and the facilities or projects held under each SL subscription.</t>
  </si>
  <si>
    <t>Support volume-based subscription tiers (NDCs for DPT; facilities or projects for State Licensing).</t>
  </si>
  <si>
    <t>Must the solution report subscription usage against the tier basis?</t>
  </si>
  <si>
    <t>FR252</t>
  </si>
  <si>
    <t>OPT-17-02</t>
  </si>
  <si>
    <t>Limit a subscription to its purchased NDC, facility or project, or user allowance.</t>
  </si>
  <si>
    <t>Must the solution enforce subscription limits, or are they managed commercially?</t>
  </si>
  <si>
    <t>FR253</t>
  </si>
  <si>
    <t>OPT-17-03</t>
  </si>
  <si>
    <t>Per-subscription counts of NDCs (DPT) and facilities or projects (SL) to support tier pricing.</t>
  </si>
  <si>
    <t>Must the solution measure or cap NDCs and facilities/projects per subscription?</t>
  </si>
  <si>
    <t>DR44</t>
  </si>
  <si>
    <t>OPT-18-01</t>
  </si>
  <si>
    <t>OPT-18</t>
  </si>
  <si>
    <t>Customer lookup against a shared customer master</t>
  </si>
  <si>
    <t>Look up a client in a shared customer master before creating a new client record, creating it there if none exists.</t>
  </si>
  <si>
    <t>Look up or create clients in a shared customer record so data stays consistent.</t>
  </si>
  <si>
    <t>What is the system of entry for new customers?</t>
  </si>
  <si>
    <t>FR242</t>
  </si>
  <si>
    <t>OPT-18-02</t>
  </si>
  <si>
    <t>A shared customer master used to look up a client before creating it and to load the platform initially.</t>
  </si>
  <si>
    <t>Is a shared customer master in scope for this investment?</t>
  </si>
  <si>
    <t>DR40</t>
  </si>
  <si>
    <t>Future considerations and clarification items</t>
  </si>
  <si>
    <t>Future considerations: do not price. Clarification items: state the assumption your proposal makes.</t>
  </si>
  <si>
    <t>Type</t>
  </si>
  <si>
    <t>Item</t>
  </si>
  <si>
    <t>Vendor response: approach (future) or assumption made (clarification)</t>
  </si>
  <si>
    <t>Design choices now / effect on price if a different answer is given</t>
  </si>
  <si>
    <t>FUT-01</t>
  </si>
  <si>
    <t>Future consideration</t>
  </si>
  <si>
    <t>Direct submission of licensing applications to state portals</t>
  </si>
  <si>
    <t>Submission of a completed licensing application directly to each state's regulatory portal.</t>
  </si>
  <si>
    <t>FR68</t>
  </si>
  <si>
    <t>FUT-02</t>
  </si>
  <si>
    <t>Direct submission of DPT reports to state portals</t>
  </si>
  <si>
    <t>DPT reports are submitted directly to state portals.</t>
  </si>
  <si>
    <t>FR196</t>
  </si>
  <si>
    <t>FUT-03</t>
  </si>
  <si>
    <t>Payment of state fees through the solution</t>
  </si>
  <si>
    <t>Payment of state fees through the solution as part of submission.</t>
  </si>
  <si>
    <t>FR181</t>
  </si>
  <si>
    <t>FUT-04</t>
  </si>
  <si>
    <t>Automated renewal processing</t>
  </si>
  <si>
    <t>Automation of renewal processing steps.</t>
  </si>
  <si>
    <t>FR176</t>
  </si>
  <si>
    <t>FUT-05</t>
  </si>
  <si>
    <t>Automatic identification of new or proposed state law changes</t>
  </si>
  <si>
    <t>New and proposed state law changes are identified automatically.</t>
  </si>
  <si>
    <t>FR197</t>
  </si>
  <si>
    <t>FUT-06</t>
  </si>
  <si>
    <t>Natural-language scenario input</t>
  </si>
  <si>
    <t>Price-increase and launch scenarios are entered in natural language.</t>
  </si>
  <si>
    <t>FR200</t>
  </si>
  <si>
    <t>FUT-07</t>
  </si>
  <si>
    <t>Client pricing-headroom and favourable-rule-change insights</t>
  </si>
  <si>
    <t>A client landing page shows insight on pricing headroom (how much more could be taken without triggering reports). Clients are alerted when a rule change creates a pricing opportunity.</t>
  </si>
  <si>
    <t>FR208, FR209</t>
  </si>
  <si>
    <t>FUT-08</t>
  </si>
  <si>
    <t>Deficiency prediction from structured deficiency history</t>
  </si>
  <si>
    <t>Structured capture of deficiency history to predict and prevent future state deficiencies.</t>
  </si>
  <si>
    <t>FR174</t>
  </si>
  <si>
    <t>FUT-09</t>
  </si>
  <si>
    <t>State board licensing data as an internal data product</t>
  </si>
  <si>
    <t>Regular acquisition of state board of pharmacy licensing data as an internal data product, built or bought. Capture of practitioner (people) data as well as facility data whenever state board data is collected.</t>
  </si>
  <si>
    <t>FR170, FR171</t>
  </si>
  <si>
    <t>FUT-10</t>
  </si>
  <si>
    <t>Adjacent licence types (for example pharmacist-in-charge)</t>
  </si>
  <si>
    <t>Support for pharmacist-in-charge and other adjacent licence types (pharmacy, compounding, veterinary).</t>
  </si>
  <si>
    <t>FR191</t>
  </si>
  <si>
    <t>FUT-11</t>
  </si>
  <si>
    <t>Uncurated regulatory update feed as a lower subscription tier</t>
  </si>
  <si>
    <t>An uncurated state-update feed as a lower tier, separate from the paid curated subscription.</t>
  </si>
  <si>
    <t>FR238</t>
  </si>
  <si>
    <t>CLR-01</t>
  </si>
  <si>
    <t>Clarification item</t>
  </si>
  <si>
    <t>Threshold comparison operators</t>
  </si>
  <si>
    <t>Whether each state threshold is "greater than" or "greater than or equal to" the stated value. Two Labs will confirm the authoritative rule set.</t>
  </si>
  <si>
    <t>FR210</t>
  </si>
  <si>
    <t>CLR-02</t>
  </si>
  <si>
    <t>Oregon absolute-increase trigger</t>
  </si>
  <si>
    <t>Whether Oregon advance notification also triggers on an absolute increase of $10,000 or more in 12 months.</t>
  </si>
  <si>
    <t>FR211</t>
  </si>
  <si>
    <t>CLR-03</t>
  </si>
  <si>
    <t>Utah post-increase due date</t>
  </si>
  <si>
    <t>Whether the Utah post-increase report is due 30 or 60 days after the increase.</t>
  </si>
  <si>
    <t>FR212</t>
  </si>
  <si>
    <t>CLR-04</t>
  </si>
  <si>
    <t>Annual report due dates</t>
  </si>
  <si>
    <t>How annual report due dates are determined by reporting year (for example Virginia).</t>
  </si>
  <si>
    <t>FR213</t>
  </si>
  <si>
    <t>CLR-05</t>
  </si>
  <si>
    <t>Rounding direction</t>
  </si>
  <si>
    <t>Whether monetary and percentage results round to nearest or always up.</t>
  </si>
  <si>
    <t>FR214</t>
  </si>
  <si>
    <t>CLR-06</t>
  </si>
  <si>
    <t>Upload existence rules</t>
  </si>
  <si>
    <t>Whether reprice, add-NDC and historical uploads require the product or NDC to exist already.</t>
  </si>
  <si>
    <t>FR215</t>
  </si>
  <si>
    <t>CLR-07</t>
  </si>
  <si>
    <t>Client access model under full self-service</t>
  </si>
  <si>
    <t>Whether, at full self-service, client users receive the same functions and controls as internal staff or a distinct client-side function set.</t>
  </si>
  <si>
    <t>FR249</t>
  </si>
  <si>
    <t>CLR-08</t>
  </si>
  <si>
    <t>Standalone output and accuracy evidence</t>
  </si>
  <si>
    <t>Whether standalone subscriber output is released without a Two Labs review step, and what evidence of accuracy must accompany it, subject to Legal review.</t>
  </si>
  <si>
    <t>FR144, FR241</t>
  </si>
  <si>
    <t>CLR-09</t>
  </si>
  <si>
    <t>Service-level data segregation</t>
  </si>
  <si>
    <t>Whether onboarding data must be tagged to the service it was supplied for so it is not used for services the client does not hold.</t>
  </si>
  <si>
    <t>FR244, DR41, NFR42</t>
  </si>
  <si>
    <t>CLR-10</t>
  </si>
  <si>
    <t>Jurisdiction list</t>
  </si>
  <si>
    <t>Whether "domestic US" includes US territories and the District of Columbia.</t>
  </si>
  <si>
    <t>NFR47, DR55</t>
  </si>
  <si>
    <t>CLR-11</t>
  </si>
  <si>
    <t>Representative designation codes</t>
  </si>
  <si>
    <t>The full list and meaning of officer and representative designation codes.</t>
  </si>
  <si>
    <t>DR36</t>
  </si>
  <si>
    <t>Explicit exclusions — do not propose</t>
  </si>
  <si>
    <t>EXC-01</t>
  </si>
  <si>
    <t>Compendia services, e-prescribing, aggregate spend reporting and sales-representative credentialing.</t>
  </si>
  <si>
    <t>EXC-02</t>
  </si>
  <si>
    <t>Non-US jurisdictions (for example Canada).</t>
  </si>
  <si>
    <t>EXC-03</t>
  </si>
  <si>
    <t>Practitioner (healthcare professional) and trading-partner licence verification.</t>
  </si>
  <si>
    <t>EXC-04</t>
  </si>
  <si>
    <t>Data flows between this platform and other Envision Pharma Group services.</t>
  </si>
  <si>
    <t>Commercial schedule C1 — one-time implementation costs (USD)</t>
  </si>
  <si>
    <t>Base proposal only. Add one row per phase. Optional capabilities are priced on the Optional sheet and C2.</t>
  </si>
  <si>
    <t>Phase / milestone</t>
  </si>
  <si>
    <t>Capabilities delivered (IDs or areas)</t>
  </si>
  <si>
    <t>Analysis and design</t>
  </si>
  <si>
    <t>Development and configuration</t>
  </si>
  <si>
    <t>Testing</t>
  </si>
  <si>
    <t>Data migration / loading</t>
  </si>
  <si>
    <t>Implementation and deployment</t>
  </si>
  <si>
    <t>Training and knowledge transfer</t>
  </si>
  <si>
    <t>Project management</t>
  </si>
  <si>
    <t>Third-party one-time costs (licences, set-up)</t>
  </si>
  <si>
    <t>Phase total</t>
  </si>
  <si>
    <t>Fixed or estimate</t>
  </si>
  <si>
    <t>Payment milestone</t>
  </si>
  <si>
    <t>[Phase 1]</t>
  </si>
  <si>
    <t>[Phase 2]</t>
  </si>
  <si>
    <t>[Phase 3]</t>
  </si>
  <si>
    <t>[Phase 4]</t>
  </si>
  <si>
    <t>[Phase 5]</t>
  </si>
  <si>
    <t>[Phase 6]</t>
  </si>
  <si>
    <t>[Phase 7]</t>
  </si>
  <si>
    <t>[Phase 8]</t>
  </si>
  <si>
    <t>Total one-time (base)</t>
  </si>
  <si>
    <t>Commercial schedule C2 — recurring costs by year (USD)</t>
  </si>
  <si>
    <t>Complete Year 1 to the end of the evaluation period [Procurement to confirm: N years]. Classify each line as fixed or variable and name its driver.</t>
  </si>
  <si>
    <t>Cost line</t>
  </si>
  <si>
    <t>Fixed / variable / usage-based</t>
  </si>
  <si>
    <t>Cost driver (if variable)</t>
  </si>
  <si>
    <t>Paid by EPG to vendor or to third party</t>
  </si>
  <si>
    <t>Year 1</t>
  </si>
  <si>
    <t>Year 2</t>
  </si>
  <si>
    <t>Year 3</t>
  </si>
  <si>
    <t>Year 4</t>
  </si>
  <si>
    <t>Year 5</t>
  </si>
  <si>
    <t>Total</t>
  </si>
  <si>
    <t>[Software licences and subscriptions]</t>
  </si>
  <si>
    <t>Software licences and subscriptions</t>
  </si>
  <si>
    <t>[Hosting and infrastructure]</t>
  </si>
  <si>
    <t>Hosting and infrastructure</t>
  </si>
  <si>
    <t>[Third-party data or services]</t>
  </si>
  <si>
    <t>Third-party data or services</t>
  </si>
  <si>
    <t>[Integration and messaging services]</t>
  </si>
  <si>
    <t>Integration and messaging services</t>
  </si>
  <si>
    <t>[AI or other usage-based services (if any)]</t>
  </si>
  <si>
    <t>AI or other usage-based services (if any)</t>
  </si>
  <si>
    <t>[Application support and maintenance]</t>
  </si>
  <si>
    <t>Application support and maintenance</t>
  </si>
  <si>
    <t>[Security assurance and testing]</t>
  </si>
  <si>
    <t>Security assurance and testing</t>
  </si>
  <si>
    <t>[Monitoring and operations]</t>
  </si>
  <si>
    <t>Monitoring and operations</t>
  </si>
  <si>
    <t>[Optional capabilities — recurring (by OPT group)]</t>
  </si>
  <si>
    <t>Optional capabilities — recurring (by OPT group)</t>
  </si>
  <si>
    <t>[Other]</t>
  </si>
  <si>
    <t>Other</t>
  </si>
  <si>
    <t>Total recurring</t>
  </si>
  <si>
    <t>Commercial schedule C3 — implementation staffing and rate card</t>
  </si>
  <si>
    <t>One row per role. Effort in person-days. Rates in USD per day.</t>
  </si>
  <si>
    <t>Role</t>
  </si>
  <si>
    <t>Location (country)</t>
  </si>
  <si>
    <t>Employee or subcontractor</t>
  </si>
  <si>
    <t>Phase(s)</t>
  </si>
  <si>
    <t>Effort (person-days)</t>
  </si>
  <si>
    <t>Day rate (USD)</t>
  </si>
  <si>
    <t>Cost</t>
  </si>
  <si>
    <t>Notes</t>
  </si>
  <si>
    <t>[Role 1]</t>
  </si>
  <si>
    <t>[Role 2]</t>
  </si>
  <si>
    <t>[Role 3]</t>
  </si>
  <si>
    <t>[Role 4]</t>
  </si>
  <si>
    <t>[Role 5]</t>
  </si>
  <si>
    <t>[Role 6]</t>
  </si>
  <si>
    <t>[Role 7]</t>
  </si>
  <si>
    <t>[Role 8]</t>
  </si>
  <si>
    <t>[Role 9]</t>
  </si>
  <si>
    <t>[Role 10]</t>
  </si>
  <si>
    <t>[Role 11]</t>
  </si>
  <si>
    <t>[Role 12]</t>
  </si>
  <si>
    <t>[Role 13]</t>
  </si>
  <si>
    <t>[Role 14]</t>
  </si>
  <si>
    <t>[Role 15]</t>
  </si>
  <si>
    <t>Commercial schedule C4 — usage-dependent cost drivers</t>
  </si>
  <si>
    <t>List every cost that varies with volume, and the volume assumed.</t>
  </si>
  <si>
    <t>Driver</t>
  </si>
  <si>
    <t>Unit (for example per client, user, NDC, facility, project, document, transaction)</t>
  </si>
  <si>
    <t>Volume assumed (Year 1)</t>
  </si>
  <si>
    <t>Volume assumed (end of period)</t>
  </si>
  <si>
    <t>Unit cost (USD)</t>
  </si>
  <si>
    <t>Step changes or tiers</t>
  </si>
  <si>
    <t>Linked C2 cost line</t>
  </si>
  <si>
    <t>[Driver 1]</t>
  </si>
  <si>
    <t>[Driver 2]</t>
  </si>
  <si>
    <t>[Driver 3]</t>
  </si>
  <si>
    <t>[Driver 4]</t>
  </si>
  <si>
    <t>[Driver 5]</t>
  </si>
  <si>
    <t>[Driver 6]</t>
  </si>
  <si>
    <t>[Driver 7]</t>
  </si>
  <si>
    <t>[Driver 8]</t>
  </si>
  <si>
    <t>[Driver 9]</t>
  </si>
  <si>
    <t>[Driver 10]</t>
  </si>
  <si>
    <t>Commercial schedule C5 — total cost of ownership summary (USD)</t>
  </si>
  <si>
    <t>Calculated from C1 and C2. Evaluation period: [Procurement to confirm: N years]. Optional capabilities are summarised separately.</t>
  </si>
  <si>
    <t>Value</t>
  </si>
  <si>
    <t>One-time implementation (base)</t>
  </si>
  <si>
    <t>Recurring costs over Years 1–5 (base and any recurring optional lines)</t>
  </si>
  <si>
    <t>Restrict to the confirmed evaluation period</t>
  </si>
  <si>
    <t>Total cost of ownership</t>
  </si>
  <si>
    <t>Optional capabilities — one-time (sum of Optional sheet)</t>
  </si>
  <si>
    <t>Optional capabilities — annual recurring (sum of Optional sheet)</t>
  </si>
  <si>
    <t>Commercial and delivery assumptions</t>
  </si>
  <si>
    <t>Every assumption underlying the price, schedule or design. Include your assumption for each clarification item.</t>
  </si>
  <si>
    <t>#</t>
  </si>
  <si>
    <t>Assumption</t>
  </si>
  <si>
    <t>Related requirement or CLR item</t>
  </si>
  <si>
    <t>Effect on price or schedule if not valid</t>
  </si>
  <si>
    <t>Custom development</t>
  </si>
  <si>
    <t>No separate alternative proposed; deliver through the stated platform-agnostic baseline with detailed design confirmed in discovery.</t>
  </si>
  <si>
    <t>Combination</t>
  </si>
  <si>
    <t>Use human-in-the-loop review: automation proposes a result with confidence and analysts approve, correct or manually complete exceptions.</t>
  </si>
  <si>
    <t>Store only a reference to an approved enterprise secrets vault rather than credentials in the application database.</t>
  </si>
  <si>
    <t>Hexaware will address domestic us jurisdictional scope through a governed cloud delivery baseline with observable controls, automated testing and operational runbooks. Compliance will be demonstrated with architecture evidence, test results, monitoring records and agreed operational reports.</t>
  </si>
  <si>
    <t>Hexaware will address real-time experience under rule conflicts through a governed cloud delivery baseline with observable controls, automated testing and operational runbooks. Compliance will be demonstrated with architecture evidence, test results, monitoring records and agreed operational reports.</t>
  </si>
  <si>
    <t>Hexaware will implement client company and ownership data through a canonical relational data model with validation, referential integrity, audit history and role-based access. Data validation, lineage, migration reconciliation and access controls will be verified against the approved data dictionary.</t>
  </si>
  <si>
    <t>Hexaware will implement licensed facility, cmo and 3pl data through a canonical relational data model with validation, referential integrity, audit history and role-based access. Data validation, lineage, migration reconciliation and access controls will be verified against the approved data dictionary.</t>
  </si>
  <si>
    <t>Hexaware will implement filing-plan reference data through governed reference-data entities with effective dates, approval workflow and traceable rule versions. Data validation, lineage, migration reconciliation and access controls will be verified against the approved data dictionary.</t>
  </si>
  <si>
    <t>Hexaware will implement document-requirement reference data through a metadata-driven document repository with versioning, classification, access controls and linked business records. Data validation, lineage, migration reconciliation and access controls will be verified against the approved data dictionary.</t>
  </si>
  <si>
    <t>Hexaware will implement project document checklist records through a metadata-driven document repository with versioning, classification, access controls and linked business records. Data validation, lineage, migration reconciliation and access controls will be verified against the approved data dictionary.</t>
  </si>
  <si>
    <t>Hexaware will implement state application form templates and field mappings through a metadata-driven document repository with versioning, classification, access controls and linked business records. Data validation, lineage, migration reconciliation and access controls will be verified against the approved data dictionary.</t>
  </si>
  <si>
    <t>Hexaware will implement application review records through a metadata-driven document repository with versioning, classification, access controls and linked business records. Data validation, lineage, migration reconciliation and access controls will be verified against the approved data dictionary.</t>
  </si>
  <si>
    <t>Hexaware will implement document validity and expiry information through a metadata-driven document repository with versioning, classification, access controls and linked business records. Data validation, lineage, migration reconciliation and access controls will be verified against the approved data dictionary.</t>
  </si>
  <si>
    <t>Hexaware will implement retention of historical licence-task data through an effective-dated data model, immutable history, searchable views and governed retention. Data validation, lineage, migration reconciliation and access controls will be verified against the approved data dictionary.</t>
  </si>
  <si>
    <t>Hexaware will implement facility licence verification results through a canonical relational data model with validation, referential integrity, audit history and role-based access. Data validation, lineage, migration reconciliation and access controls will be verified against the approved data dictionary.</t>
  </si>
  <si>
    <t>Hexaware will implement organisation and contact data through a canonical relational data model with validation, referential integrity, audit history and role-based access. Data validation, lineage, migration reconciliation and access controls will be verified against the approved data dictionary.</t>
  </si>
  <si>
    <t>Hexaware will implement wac price history through an effective-dated data model, immutable history, searchable views and governed retention. Data validation, lineage, migration reconciliation and access controls will be verified against the approved data dictionary.</t>
  </si>
  <si>
    <t>Hexaware will implement effective-dated system facts and thresholds through an effective-dated data model, immutable history, searchable views and governed retention. Data validation, lineage, migration reconciliation and access controls will be verified against the approved data dictionary.</t>
  </si>
  <si>
    <t>Hexaware will implement triggered report instances and statuses through a canonical relational data model with validation, referential integrity, audit history and role-based access. Data validation, lineage, migration reconciliation and access controls will be verified against the approved data dictionary.</t>
  </si>
  <si>
    <t>Hexaware will implement compendia wac history input through an effective-dated data model, immutable history, searchable views and governed retention. Data validation, lineage, migration reconciliation and access controls will be verified against the approved data dictionary.</t>
  </si>
  <si>
    <t>Hexaware will implement historical lookback output through an effective-dated data model, immutable history, searchable views and governed retention. Data validation, lineage, migration reconciliation and access controls will be verified against the approved data dictionary.</t>
  </si>
  <si>
    <t>Hexaware will implement pending legislation status data through governed reference-data entities with effective dates, approval workflow and traceable rule versions. Data validation, lineage, migration reconciliation and access controls will be verified against the approved data dictionary.</t>
  </si>
  <si>
    <t>Hexaware will implement user, role and assignment data through a secured canonical data model with field-level access, role assignments, audit history and encryption controls. Data validation, lineage, migration reconciliation and access controls will be verified against the approved data dictionary.</t>
  </si>
  <si>
    <t>Hexaware will implement regulatory update archive through an effective-dated data model, immutable history, searchable views and governed retention. Data validation, lineage, migration reconciliation and access controls will be verified against the approved data dictionary.</t>
  </si>
  <si>
    <t>Hexaware will deliver the create client account and companies capability through a secure multi-tenant web application with configurable entity relationships, validation and role-based access. The implementation will expose auditable APIs and automated tests aligned to the stated acceptance criterion.</t>
  </si>
  <si>
    <t>Final workflow, fields, roles, volumes and acceptance tests are subject to discovery and Two Labs approval; This response assumes bespoke delivery in the implementation scope rather than an out-of-the-box product feature.</t>
  </si>
  <si>
    <t>Hexaware will deliver the create licensing project capability through a secure multi-tenant web application with configurable entity relationships, validation and role-based access. The implementation will expose auditable APIs and automated tests aligned to the stated acceptance criterion.</t>
  </si>
  <si>
    <t>Hexaware will deliver the assign project staff capability through a configurable workflow engine with role-based queues, state transitions, approvals, timers and audit history. The implementation will expose auditable APIs and automated tests aligned to the stated acceptance criterion.</t>
  </si>
  <si>
    <t>Hexaware will deliver the reassign projects in bulk capability through a configurable workflow engine with role-based queues, state transitions, approvals, timers and audit history. The implementation will expose auditable APIs and automated tests aligned to the stated acceptance criterion.</t>
  </si>
  <si>
    <t>Hexaware will deliver the configure project states capability through a secure multi-tenant web application with configurable entity relationships, validation and role-based access. The implementation will expose auditable APIs and automated tests aligned to the stated acceptance criterion.</t>
  </si>
  <si>
    <t>Hexaware will deliver the show client the states applied for capability through a secure multi-tenant web application with configurable entity relationships, validation and role-based access. The implementation will expose auditable APIs and automated tests aligned to the stated acceptance criterion.</t>
  </si>
  <si>
    <t>Hexaware will deliver the select application forms per state capability through a modular cloud application using configurable forms, workflow, APIs, audit events and automated tests. The implementation will expose auditable APIs and automated tests aligned to the stated acceptance criterion.</t>
  </si>
  <si>
    <t>Hexaware will deliver the create project from existing project capability through a secure multi-tenant web application with configurable entity relationships, validation and role-based access. The implementation will expose auditable APIs and automated tests aligned to the stated acceptance criterion.</t>
  </si>
  <si>
    <t>Hexaware will deliver the intake questionnaire sections capability through a modular cloud application using configurable forms, workflow, APIs, audit events and automated tests. The implementation will expose auditable APIs and automated tests aligned to the stated acceptance criterion.</t>
  </si>
  <si>
    <t>Two Labs remains accountable for supplying and approving authoritative regulatory content, interpretations and decision rules; This response assumes bespoke delivery in the implementation scope rather than an out-of-the-box product feature.</t>
  </si>
  <si>
    <t>Hexaware will deliver the conditional intake sections capability through a modular cloud application using configurable forms, workflow, APIs, audit events and automated tests. The implementation will expose auditable APIs and automated tests aligned to the stated acceptance criterion.</t>
  </si>
  <si>
    <t>Two Labs remains accountable for supplying and approving authoritative regulatory content, interpretations and decision rules; Delivery depends on source licensing, stable access methods, permitted automation and third-party availability; This response assumes bespoke delivery in the implementation scope rather than an out-of-the-box product feature.</t>
  </si>
  <si>
    <t>Use governed file import or a replaceable provider adapter if direct service integration is unavailable or not licensed.</t>
  </si>
  <si>
    <t>Hexaware will deliver the representative address history check capability through a modular cloud application using configurable forms, workflow, APIs, audit events and automated tests. The implementation will expose auditable APIs and automated tests aligned to the stated acceptance criterion.</t>
  </si>
  <si>
    <t>Hexaware will deliver the authorised and designated representative check capability through a modular cloud application using configurable forms, workflow, APIs, audit events and automated tests. The implementation will expose auditable APIs and automated tests aligned to the stated acceptance criterion.</t>
  </si>
  <si>
    <t>Hexaware will deliver the intake completeness and validation feedback capability through a modular cloud application using configurable forms, workflow, APIs, audit events and automated tests. The implementation will expose auditable APIs and automated tests aligned to the stated acceptance criterion.</t>
  </si>
  <si>
    <t>Hexaware will deliver the submit and lock intake capability through a configurable workflow engine with role-based queues, state transitions, approvals, timers and audit history. The implementation will expose auditable APIs and automated tests aligned to the stated acceptance criterion.</t>
  </si>
  <si>
    <t>Hexaware will deliver the staff entry on client's behalf capability through a secure multi-tenant web application with configurable entity relationships, validation and role-based access. The implementation will expose auditable APIs and automated tests aligned to the stated acceptance criterion.</t>
  </si>
  <si>
    <t>Hexaware will deliver the configure required intake fields per project capability through a secure multi-tenant web application with configurable entity relationships, validation and role-based access. The implementation will expose auditable APIs and automated tests aligned to the stated acceptance criterion.</t>
  </si>
  <si>
    <t>Hexaware will deliver the extended ownership levels capability through a modular cloud application using configurable forms, workflow, APIs, audit events and automated tests. The implementation will expose auditable APIs and automated tests aligned to the stated acceptance criterion.</t>
  </si>
  <si>
    <t>Hexaware will deliver the restrict viewing of officer information capability through role-based web views, indexed search, configurable filters, status models and exportable dashboards. The implementation will expose auditable APIs and automated tests aligned to the stated acceptance criterion.</t>
  </si>
  <si>
    <t>Hexaware will deliver the determine licences per state capability through a versioned rules service, effective-dated reference data, explainable calculations and analyst review. The implementation will expose auditable APIs and automated tests aligned to the stated acceptance criterion.</t>
  </si>
  <si>
    <t>Hexaware will deliver the determine applications per state capability through a versioned rules service, effective-dated reference data, explainable calculations and analyst review. The implementation will expose auditable APIs and automated tests aligned to the stated acceptance criterion.</t>
  </si>
  <si>
    <t>Hexaware will deliver the determine required documents capability through a versioned rules service, effective-dated reference data, explainable calculations and analyst review. The implementation will expose auditable APIs and automated tests aligned to the stated acceptance criterion.</t>
  </si>
  <si>
    <t>Delivery depends on source licensing, stable access methods, permitted automation and third-party availability; This response assumes bespoke delivery in the implementation scope rather than an out-of-the-box product feature.</t>
  </si>
  <si>
    <t>Hexaware will deliver the staff review of determined requirements capability through a versioned rules service, effective-dated reference data, explainable calculations and analyst review. The implementation will expose auditable APIs and automated tests aligned to the stated acceptance criterion.</t>
  </si>
  <si>
    <t>Hexaware will deliver the maintain determination rules capability through a versioned rules service, effective-dated reference data, explainable calculations and analyst review. The implementation will expose auditable APIs and automated tests aligned to the stated acceptance criterion.</t>
  </si>
  <si>
    <t>Hexaware will deliver the project document checklist capability through secure object storage, malware scanning, document metadata, checklist workflows and controlled download links. The implementation will expose auditable APIs and automated tests aligned to the stated acceptance criterion.</t>
  </si>
  <si>
    <t>Hexaware will deliver the upload against checklist item capability through secure object storage, malware scanning, document metadata, checklist workflows and controlled download links. The implementation will expose auditable APIs and automated tests aligned to the stated acceptance criterion.</t>
  </si>
  <si>
    <t>Hexaware will deliver the checklist progress capability through secure object storage, malware scanning, document metadata, checklist workflows and controlled download links. The implementation will expose auditable APIs and automated tests aligned to the stated acceptance criterion.</t>
  </si>
  <si>
    <t>Hexaware will deliver the edit an existing project's checklist capability through secure object storage, malware scanning, document metadata, checklist workflows and controlled download links. The implementation will expose auditable APIs and automated tests aligned to the stated acceptance criterion.</t>
  </si>
  <si>
    <t>Hexaware will deliver the document upload timestamp capability through secure object storage, malware scanning, document metadata, checklist workflows and controlled download links. The implementation will expose auditable APIs and automated tests aligned to the stated acceptance criterion.</t>
  </si>
  <si>
    <t>Hexaware will deliver the bulk document upload without tagging capability through secure object storage, malware scanning, document metadata, checklist workflows and controlled download links. The implementation will expose auditable APIs and automated tests aligned to the stated acceptance criterion.</t>
  </si>
  <si>
    <t>Hexaware will deliver the place bulk-uploaded documents capability through secure object storage, malware scanning, document metadata, checklist workflows and controlled download links. The implementation will expose auditable APIs and automated tests aligned to the stated acceptance criterion.</t>
  </si>
  <si>
    <t>Automation accuracy thresholds, representative test data and human exception review must be agreed; 100% straight-through accuracy is not assumed.</t>
  </si>
  <si>
    <t>Hexaware will deliver the map intake data to application forms capability through a metadata-driven template and mapping service that validates source data and generates versioned outputs. The implementation will expose auditable APIs and automated tests aligned to the stated acceptance criterion.</t>
  </si>
  <si>
    <t>Hexaware will deliver the generate completed applications capability through a metadata-driven template and mapping service that validates source data and generates versioned outputs. The implementation will expose auditable APIs and automated tests aligned to the stated acceptance criterion.</t>
  </si>
  <si>
    <t>Hexaware will deliver the maintain current state form versions capability through a modular cloud application using configurable forms, workflow, APIs, audit events and automated tests. The implementation will expose auditable APIs and automated tests aligned to the stated acceptance criterion.</t>
  </si>
  <si>
    <t>Hexaware will deliver the detect new state form versions capability through a modular cloud application using configurable forms, workflow, APIs, audit events and automated tests. The implementation will expose auditable APIs and automated tests aligned to the stated acceptance criterion.</t>
  </si>
  <si>
    <t>Acceptance criteria must be finalized in discovery before commitment.</t>
  </si>
  <si>
    <t>Hexaware will deliver the map newly added forms automatically capability through a metadata-driven template and mapping service that validates source data and generates versioned outputs. The implementation will expose auditable APIs and automated tests aligned to the stated acceptance criterion.</t>
  </si>
  <si>
    <t>Automation accuracy thresholds, representative test data and human exception review must be agreed; 100% straight-through accuracy is not assumed; Acceptance criteria must be finalized in discovery before commitment.</t>
  </si>
  <si>
    <t>Hexaware will deliver the generate supplementary documents from intake capability through a metadata-driven template and mapping service that validates source data and generates versioned outputs. The implementation will expose auditable APIs and automated tests aligned to the stated acceptance criterion.</t>
  </si>
  <si>
    <t>Hexaware will deliver the configure mapped value formatting capability through a metadata-driven template and mapping service that validates source data and generates versioned outputs. The implementation will expose auditable APIs and automated tests aligned to the stated acceptance criterion.</t>
  </si>
  <si>
    <t>Hexaware will deliver the restrict form editing and mapping capability through a metadata-driven template and mapping service that validates source data and generates versioned outputs. The implementation will expose auditable APIs and automated tests aligned to the stated acceptance criterion.</t>
  </si>
  <si>
    <t>Hexaware will deliver the release prepared application for client review capability through a configurable workflow engine with role-based queues, state transitions, approvals, timers and audit history. The implementation will expose auditable APIs and automated tests aligned to the stated acceptance criterion.</t>
  </si>
  <si>
    <t>Hexaware will deliver the download application capability through secure object storage, malware scanning, document metadata, checklist workflows and controlled download links. The implementation will expose auditable APIs and automated tests aligned to the stated acceptance criterion.</t>
  </si>
  <si>
    <t>Hexaware will deliver the comment on application capability through a modular cloud application using configurable forms, workflow, APIs, audit events and automated tests. The implementation will expose auditable APIs and automated tests aligned to the stated acceptance criterion.</t>
  </si>
  <si>
    <t>Hexaware will deliver the set application review status capability through a configurable workflow engine with role-based queues, state transitions, approvals, timers and audit history. The implementation will expose auditable APIs and automated tests aligned to the stated acceptance criterion.</t>
  </si>
  <si>
    <t>Hexaware will deliver the send applications for review in bulk capability through a configurable workflow engine with role-based queues, state transitions, approvals, timers and audit history. The implementation will expose auditable APIs and automated tests aligned to the stated acceptance criterion.</t>
  </si>
  <si>
    <t>Hexaware will deliver the download issued licences capability through secure object storage, malware scanning, document metadata, checklist workflows and controlled download links. The implementation will expose auditable APIs and automated tests aligned to the stated acceptance criterion.</t>
  </si>
  <si>
    <t>Hexaware will deliver the client licence and application status view capability through role-based web views, indexed search, configurable filters, status models and exportable dashboards. The implementation will expose auditable APIs and automated tests aligned to the stated acceptance criterion.</t>
  </si>
  <si>
    <t>Hexaware will deliver the client view of upcoming renewals capability through a configurable workflow engine with role-based queues, state transitions, approvals, timers and audit history. The implementation will expose auditable APIs and automated tests aligned to the stated acceptance criterion.</t>
  </si>
  <si>
    <t>Hexaware will deliver the client view of items coming due capability through role-based web views, indexed search, configurable filters, status models and exportable dashboards. The implementation will expose auditable APIs and automated tests aligned to the stated acceptance criterion.</t>
  </si>
  <si>
    <t>Acceptance criteria must be finalized in discovery before commitment; This response assumes bespoke delivery in the implementation scope rather than an out-of-the-box product feature.</t>
  </si>
  <si>
    <t>Hexaware will deliver the client view of expiring documents capability through secure object storage, malware scanning, document metadata, checklist workflows and controlled download links. The implementation will expose auditable APIs and automated tests aligned to the stated acceptance criterion.</t>
  </si>
  <si>
    <t>Hexaware will deliver the licence tracking record capability through a secure multi-tenant web application with configurable entity relationships, validation and role-based access. The implementation will expose auditable APIs and automated tests aligned to the stated acceptance criterion.</t>
  </si>
  <si>
    <t>Two Labs remains accountable for supplying and approving authoritative regulatory content, interpretations and decision rules; Migration scope, source quality, mapping and reconciliation criteria must be confirmed after profiling; This response assumes bespoke delivery in the implementation scope rather than an out-of-the-box product feature.</t>
  </si>
  <si>
    <t>Hexaware will deliver the licence stage capability through a configurable workflow engine with role-based queues, state transitions, approvals, timers and audit history. The implementation will expose auditable APIs and automated tests aligned to the stated acceptance criterion.</t>
  </si>
  <si>
    <t>Migration scope, source quality, mapping and reconciliation criteria must be confirmed after profiling; This response assumes bespoke delivery in the implementation scope rather than an out-of-the-box product feature.</t>
  </si>
  <si>
    <t>Hexaware will deliver the licence status notes and milestone dates capability through role-based web views, indexed search, configurable filters, status models and exportable dashboards. The implementation will expose auditable APIs and automated tests aligned to the stated acceptance criterion.</t>
  </si>
  <si>
    <t>Hexaware will deliver the licence deficiencies capability through a secure multi-tenant web application with configurable entity relationships, validation and role-based access. The implementation will expose auditable APIs and automated tests aligned to the stated acceptance criterion.</t>
  </si>
  <si>
    <t>Hexaware will deliver the state correspondence capability through a modular cloud application using configurable forms, workflow, APIs, audit events and automated tests. The implementation will expose auditable APIs and automated tests aligned to the stated acceptance criterion.</t>
  </si>
  <si>
    <t>Hexaware will deliver the people linked to a licence capability through a secure multi-tenant web application with configurable entity relationships, validation and role-based access. The implementation will expose auditable APIs and automated tests aligned to the stated acceptance criterion.</t>
  </si>
  <si>
    <t>Hexaware will deliver the filing channel and state-system access capability through a modular cloud application using configurable forms, workflow, APIs, audit events and automated tests. The implementation will expose auditable APIs and automated tests aligned to the stated acceptance criterion.</t>
  </si>
  <si>
    <t>Migration scope, source quality, mapping and reconciliation criteria must be confirmed after profiling; Sensitive-data handling, retention, masking and privileged-access controls require security and privacy approval; This response assumes bespoke delivery in the implementation scope rather than an out-of-the-box product feature.</t>
  </si>
  <si>
    <t>Hexaware will deliver the cross-analyst task view capability through a configurable workflow engine with role-based queues, state transitions, approvals, timers and audit history. The implementation will expose auditable APIs and automated tests aligned to the stated acceptance criterion.</t>
  </si>
  <si>
    <t>Hexaware will deliver the find clients holding a state licence capability through role-based web views, indexed search, configurable filters, status models and exportable dashboards. The implementation will expose auditable APIs and automated tests aligned to the stated acceptance criterion.</t>
  </si>
  <si>
    <t>Hexaware will deliver the historical licence data capability through validated bulk ingestion with staging, row-level error reporting, reconciliation and restart controls. The implementation will expose auditable APIs and automated tests aligned to the stated acceptance criterion.</t>
  </si>
  <si>
    <t>Migration scope, source quality, mapping and reconciliation criteria must be confirmed after profiling; Acceptance criteria must be finalized in discovery before commitment; This response assumes bespoke delivery in the implementation scope rather than an out-of-the-box product feature.</t>
  </si>
  <si>
    <t>Hexaware will deliver the initiate a licence change capability through a configurable workflow engine with role-based queues, state transitions, approvals, timers and audit history. The implementation will expose auditable APIs and automated tests aligned to the stated acceptance criterion.</t>
  </si>
  <si>
    <t>Hexaware will deliver the officer or representative change submissions capability through a configurable workflow engine with role-based queues, state transitions, approvals, timers and audit history. The implementation will expose auditable APIs and automated tests aligned to the stated acceptance criterion.</t>
  </si>
  <si>
    <t>Hexaware will deliver the add a single new state requirement capability through a modular cloud application using configurable forms, workflow, APIs, audit events and automated tests. The implementation will expose auditable APIs and automated tests aligned to the stated acceptance criterion.</t>
  </si>
  <si>
    <t>Hexaware will deliver the track each change as a task capability through a configurable workflow engine with role-based queues, state transitions, approvals, timers and audit history. The implementation will expose auditable APIs and automated tests aligned to the stated acceptance criterion.</t>
  </si>
  <si>
    <t>Hexaware will deliver the renewal due date capability through a versioned rules service, effective-dated reference data, explainable calculations and analyst review. The implementation will expose auditable APIs and automated tests aligned to the stated acceptance criterion.</t>
  </si>
  <si>
    <t>Hexaware will deliver the tracked next renewal for every issued licence capability through a configurable workflow engine with role-based queues, state transitions, approvals, timers and audit history. The implementation will expose auditable APIs and automated tests aligned to the stated acceptance criterion.</t>
  </si>
  <si>
    <t>Hexaware will deliver the renewal information for the client capability through a configurable workflow engine with role-based queues, state transitions, approvals, timers and audit history. The implementation will expose auditable APIs and automated tests aligned to the stated acceptance criterion.</t>
  </si>
  <si>
    <t>Hexaware will deliver the check facility licence issuance capability through a secure multi-tenant web application with configurable entity relationships, validation and role-based access. The implementation will expose auditable APIs and automated tests aligned to the stated acceptance criterion.</t>
  </si>
  <si>
    <t>If a stable API or licensed feed is unavailable, use scheduled analyst verification with evidence capture and exception queues.</t>
  </si>
  <si>
    <t>Hexaware will deliver the verify facility licence is active capability through a secure multi-tenant web application with configurable entity relationships, validation and role-based access. The implementation will expose auditable APIs and automated tests aligned to the stated acceptance criterion.</t>
  </si>
  <si>
    <t>Delivery depends on source licensing, stable access methods, permitted automation and third-party availability.</t>
  </si>
  <si>
    <t>Hexaware will deliver the view company audit history capability through role-based web views, indexed search, configurable filters, status models and exportable dashboards. The implementation will expose auditable APIs and automated tests aligned to the stated acceptance criterion.</t>
  </si>
  <si>
    <t>Hexaware will deliver the print company audit history capability through a secure multi-tenant web application with configurable entity relationships, validation and role-based access. The implementation will expose auditable APIs and automated tests aligned to the stated acceptance criterion.</t>
  </si>
  <si>
    <t>Hexaware will deliver the client organisation record capability through a secure multi-tenant web application with configurable entity relationships, validation and role-based access. The implementation will expose auditable APIs and automated tests aligned to the stated acceptance criterion.</t>
  </si>
  <si>
    <t>Hexaware will deliver the product and ndc records capability through a secure multi-tenant web application with configurable entity relationships, validation and role-based access. The implementation will expose auditable APIs and automated tests aligned to the stated acceptance criterion.</t>
  </si>
  <si>
    <t>Hexaware will deliver the product classification capability through a secure multi-tenant web application with configurable entity relationships, validation and role-based access. The implementation will expose auditable APIs and automated tests aligned to the stated acceptance criterion.</t>
  </si>
  <si>
    <t>Delivery depends on source licensing, stable access methods, permitted automation and third-party availability; Automation accuracy thresholds, representative test data and human exception review must be agreed; 100% straight-through accuracy is not assumed; This response assumes bespoke delivery in the implementation scope rather than an out-of-the-box product feature.</t>
  </si>
  <si>
    <t>Hexaware will deliver the wac price history capability through a modular cloud application using configurable forms, workflow, APIs, audit events and automated tests. The implementation will expose auditable APIs and automated tests aligned to the stated acceptance criterion.</t>
  </si>
  <si>
    <t>Hexaware will deliver the template-based pricing upload capability through secure object storage, malware scanning, document metadata, checklist workflows and controlled download links. The implementation will expose auditable APIs and automated tests aligned to the stated acceptance criterion.</t>
  </si>
  <si>
    <t>Delivery depends on source licensing, stable access methods, permitted automation and third-party availability; Migration scope, source quality, mapping and reconciliation criteria must be confirmed after profiling; This response assumes bespoke delivery in the implementation scope rather than an out-of-the-box product feature.</t>
  </si>
  <si>
    <t>Hexaware will deliver the pricing upload validation capability through secure object storage, malware scanning, document metadata, checklist workflows and controlled download links. The implementation will expose auditable APIs and automated tests aligned to the stated acceptance criterion.</t>
  </si>
  <si>
    <t>Hexaware will deliver the upload review before commit capability through secure object storage, malware scanning, document metadata, checklist workflows and controlled download links. The implementation will expose auditable APIs and automated tests aligned to the stated acceptance criterion.</t>
  </si>
  <si>
    <t>Hexaware will deliver the pre-launch correction capability through a modular cloud application using configurable forms, workflow, APIs, audit events and automated tests. The implementation will expose auditable APIs and automated tests aligned to the stated acceptance criterion.</t>
  </si>
  <si>
    <t>Hexaware will deliver the product archiving capability through a secure multi-tenant web application with configurable entity relationships, validation and role-based access. The implementation will expose auditable APIs and automated tests aligned to the stated acceptance criterion.</t>
  </si>
  <si>
    <t>Hexaware will deliver the state-specific data uploads capability through secure object storage, malware scanning, document metadata, checklist workflows and controlled download links. The implementation will expose auditable APIs and automated tests aligned to the stated acceptance criterion.</t>
  </si>
  <si>
    <t>Two Labs remains accountable for supplying and approving authoritative regulatory content, interpretations and decision rules; Delivery depends on source licensing, stable access methods, permitted automation and third-party availability; Acceptance criteria must be finalized in discovery before commitment; This response assumes bespoke delivery in the implementation scope rather than an out-of-the-box product feature.</t>
  </si>
  <si>
    <t>Hexaware will deliver the state rule coverage capability through a versioned rules service, effective-dated reference data, explainable calculations and analyst review. The implementation will expose auditable APIs and automated tests aligned to the stated acceptance criterion.</t>
  </si>
  <si>
    <t>Hexaware will deliver the pricing event evaluation capability through a modular cloud application using configurable forms, workflow, APIs, audit events and automated tests. The implementation will expose auditable APIs and automated tests aligned to the stated acceptance criterion.</t>
  </si>
  <si>
    <t>Hexaware will deliver the combined rule conditions capability through a versioned rules service, effective-dated reference data, explainable calculations and analyst review. The implementation will expose auditable APIs and automated tests aligned to the stated acceptance criterion.</t>
  </si>
  <si>
    <t>Hexaware will deliver the look-back windows capability through a modular cloud application using configurable forms, workflow, APIs, audit events and automated tests. The implementation will expose auditable APIs and automated tests aligned to the stated acceptance criterion.</t>
  </si>
  <si>
    <t>Hexaware will deliver the product-type rule conditions capability through a versioned rules service, effective-dated reference data, explainable calculations and analyst review. The implementation will expose auditable APIs and automated tests aligned to the stated acceptance criterion.</t>
  </si>
  <si>
    <t>Hexaware will deliver the biosimilar reference pricing capability through a modular cloud application using configurable forms, workflow, APIs, audit events and automated tests. The implementation will expose auditable APIs and automated tests aligned to the stated acceptance criterion.</t>
  </si>
  <si>
    <t>Two Labs remains accountable for supplying and approving authoritative regulatory content, interpretations and decision rules; Acceptance criteria must be finalized in discovery before commitment; This response assumes bespoke delivery in the implementation scope rather than an out-of-the-box product feature.</t>
  </si>
  <si>
    <t>Hexaware will deliver the effective-dated thresholds capability through a versioned rules service, effective-dated reference data, explainable calculations and analyst review. The implementation will expose auditable APIs and automated tests aligned to the stated acceptance criterion.</t>
  </si>
  <si>
    <t>Hexaware will deliver the reporting start and discontinuation dates capability through role-based web views, indexed search, configurable filters, status models and exportable dashboards. The implementation will expose auditable APIs and automated tests aligned to the stated acceptance criterion.</t>
  </si>
  <si>
    <t>Hexaware will deliver the launch reporting triggers capability through a versioned rules service, effective-dated reference data, explainable calculations and analyst review. The implementation will expose auditable APIs and automated tests aligned to the stated acceptance criterion.</t>
  </si>
  <si>
    <t>Hexaware will deliver the recurring and list-based obligations capability through role-based web views, indexed search, configurable filters, status models and exportable dashboards. The implementation will expose auditable APIs and automated tests aligned to the stated acceptance criterion.</t>
  </si>
  <si>
    <t>Hexaware will deliver the report due dates capability through a versioned rules service, effective-dated reference data, explainable calculations and analyst review. The implementation will expose auditable APIs and automated tests aligned to the stated acceptance criterion.</t>
  </si>
  <si>
    <t>Hexaware will deliver the triggering facts record capability through a versioned rules service, effective-dated reference data, explainable calculations and analyst review. The implementation will expose auditable APIs and automated tests aligned to the stated acceptance criterion.</t>
  </si>
  <si>
    <t>Hexaware will deliver the rule maintenance capability through a versioned rules service, effective-dated reference data, explainable calculations and analyst review. The implementation will expose auditable APIs and automated tests aligned to the stated acceptance criterion.</t>
  </si>
  <si>
    <t>Hexaware will deliver the calculation precision capability through a modular cloud application using configurable forms, workflow, APIs, audit events and automated tests. The implementation will expose auditable APIs and automated tests aligned to the stated acceptance criterion.</t>
  </si>
  <si>
    <t>Hexaware will deliver the percentage-increase scenario capability through a versioned rules service, effective-dated reference data, explainable calculations and analyst review. The implementation will expose auditable APIs and automated tests aligned to the stated acceptance criterion.</t>
  </si>
  <si>
    <t>Hexaware will deliver the maximum increase without any trigger capability through a versioned rules service, effective-dated reference data, explainable calculations and analyst review. The implementation will expose auditable APIs and automated tests aligned to the stated acceptance criterion.</t>
  </si>
  <si>
    <t>Hexaware will deliver the maximum increase avoiding selected states capability through a modular cloud application using configurable forms, workflow, APIs, audit events and automated tests. The implementation will expose auditable APIs and automated tests aligned to the stated acceptance criterion.</t>
  </si>
  <si>
    <t>Hexaware will deliver the maximum increase avoiding a report category capability through role-based web views, indexed search, configurable filters, status models and exportable dashboards. The implementation will expose auditable APIs and automated tests aligned to the stated acceptance criterion.</t>
  </si>
  <si>
    <t>Hexaware will deliver the multiple and multi-year increases capability through a modular cloud application using configurable forms, workflow, APIs, audit events and automated tests. The implementation will expose auditable APIs and automated tests aligned to the stated acceptance criterion.</t>
  </si>
  <si>
    <t>Hexaware will deliver the scenario output capability through a versioned rules service, effective-dated reference data, explainable calculations and analyst review. The implementation will expose auditable APIs and automated tests aligned to the stated acceptance criterion.</t>
  </si>
  <si>
    <t>Hexaware will deliver the model-to-actual consistency capability through a modular cloud application using configurable forms, workflow, APIs, audit events and automated tests. The implementation will expose auditable APIs and automated tests aligned to the stated acceptance criterion.</t>
  </si>
  <si>
    <t>Hexaware will deliver the saved and compared scenarios capability through a versioned rules service, effective-dated reference data, explainable calculations and analyst review. The implementation will expose auditable APIs and automated tests aligned to the stated acceptance criterion.</t>
  </si>
  <si>
    <t>Hexaware will deliver the client-run scenarios capability through a versioned rules service, effective-dated reference data, explainable calculations and analyst review. The implementation will expose auditable APIs and automated tests aligned to the stated acceptance criterion.</t>
  </si>
  <si>
    <t>Hexaware will deliver the historical lookback evaluation capability through validated bulk ingestion with staging, row-level error reporting, reconciliation and restart controls. The implementation will expose auditable APIs and automated tests aligned to the stated acceptance criterion.</t>
  </si>
  <si>
    <t>Two Labs remains accountable for supplying and approving authoritative regulatory content, interpretations and decision rules; Delivery depends on source licensing, stable access methods, permitted automation and third-party availability; Migration scope, source quality, mapping and reconciliation criteria must be confirmed after profiling.</t>
  </si>
  <si>
    <t>Hexaware will deliver the lookback results output capability through a metadata-driven template and mapping service that validates source data and generates versioned outputs. The implementation will expose auditable APIs and automated tests aligned to the stated acceptance criterion.</t>
  </si>
  <si>
    <t>Hexaware will deliver the historical price loading modes capability through validated bulk ingestion with staging, row-level error reporting, reconciliation and restart controls. The implementation will expose auditable APIs and automated tests aligned to the stated acceptance criterion.</t>
  </si>
  <si>
    <t>Hexaware will deliver the required report details capability through role-based web views, indexed search, configurable filters, status models and exportable dashboards. The implementation will expose auditable APIs and automated tests aligned to the stated acceptance criterion.</t>
  </si>
  <si>
    <t>Hexaware will deliver the common data reuse capability through a modular cloud application using configurable forms, workflow, APIs, audit events and automated tests. The implementation will expose auditable APIs and automated tests aligned to the stated acceptance criterion.</t>
  </si>
  <si>
    <t>Hexaware will deliver the state-specific report fields capability through role-based web views, indexed search, configurable filters, status models and exportable dashboards. The implementation will expose auditable APIs and automated tests aligned to the stated acceptance criterion.</t>
  </si>
  <si>
    <t>Hexaware will deliver the missing information visibility capability through a modular cloud application using configurable forms, workflow, APIs, audit events and automated tests. The implementation will expose auditable APIs and automated tests aligned to the stated acceptance criterion.</t>
  </si>
  <si>
    <t>Hexaware will deliver the report detail template capability through role-based web views, indexed search, configurable filters, status models and exportable dashboards. The implementation will expose auditable APIs and automated tests aligned to the stated acceptance criterion.</t>
  </si>
  <si>
    <t>Hexaware will deliver the trade-secret justification capability through a modular cloud application using configurable forms, workflow, APIs, audit events and automated tests. The implementation will expose auditable APIs and automated tests aligned to the stated acceptance criterion.</t>
  </si>
  <si>
    <t>Sensitive-data handling, retention, masking and privileged-access controls require security and privacy approval; This response assumes bespoke delivery in the implementation scope rather than an out-of-the-box product feature.</t>
  </si>
  <si>
    <t>Hexaware will deliver the client entry of report information capability through role-based web views, indexed search, configurable filters, status models and exportable dashboards. The implementation will expose auditable APIs and automated tests aligned to the stated acceptance criterion.</t>
  </si>
  <si>
    <t>Hexaware will deliver the state-ready report generation capability through role-based web views, indexed search, configurable filters, status models and exportable dashboards. The implementation will expose auditable APIs and automated tests aligned to the stated acceptance criterion.</t>
  </si>
  <si>
    <t>Hexaware will deliver the state-required file format capability through secure object storage, malware scanning, document metadata, checklist workflows and controlled download links. The implementation will expose auditable APIs and automated tests aligned to the stated acceptance criterion.</t>
  </si>
  <si>
    <t>Hexaware will deliver the editable data download capability through secure object storage, malware scanning, document metadata, checklist workflows and controlled download links. The implementation will expose auditable APIs and automated tests aligned to the stated acceptance criterion.</t>
  </si>
  <si>
    <t>Hexaware will deliver the report output replacement capability through a metadata-driven template and mapping service that validates source data and generates versioned outputs. The implementation will expose auditable APIs and automated tests aligned to the stated acceptance criterion.</t>
  </si>
  <si>
    <t>Hexaware will deliver the report status lifecycle capability through role-based web views, indexed search, configurable filters, status models and exportable dashboards. The implementation will expose auditable APIs and automated tests aligned to the stated acceptance criterion.</t>
  </si>
  <si>
    <t>Hexaware will deliver the submission evidence capability through a modular cloud application using configurable forms, workflow, APIs, audit events and automated tests. The implementation will expose auditable APIs and automated tests aligned to the stated acceptance criterion.</t>
  </si>
  <si>
    <t>Hexaware will deliver the due and overdue views capability through role-based web views, indexed search, configurable filters, status models and exportable dashboards. The implementation will expose auditable APIs and automated tests aligned to the stated acceptance criterion.</t>
  </si>
  <si>
    <t>Hexaware will deliver the report list capability through role-based web views, indexed search, configurable filters, status models and exportable dashboards. The implementation will expose auditable APIs and automated tests aligned to the stated acceptance criterion.</t>
  </si>
  <si>
    <t>Hexaware will deliver the client report tracker capability through role-based web views, indexed search, configurable filters, status models and exportable dashboards. The implementation will expose auditable APIs and automated tests aligned to the stated acceptance criterion.</t>
  </si>
  <si>
    <t>Hexaware will deliver the on-time submission measurement capability through a modular cloud application using configurable forms, workflow, APIs, audit events and automated tests. The implementation will expose auditable APIs and automated tests aligned to the stated acceptance criterion.</t>
  </si>
  <si>
    <t>Hexaware will deliver the look-back basis display capability through a modular cloud application using configurable forms, workflow, APIs, audit events and automated tests. The implementation will expose auditable APIs and automated tests aligned to the stated acceptance criterion.</t>
  </si>
  <si>
    <t>Hexaware will deliver the manual override of calculation inputs capability through a modular cloud application using configurable forms, workflow, APIs, audit events and automated tests. The implementation will expose auditable APIs and automated tests aligned to the stated acceptance criterion.</t>
  </si>
  <si>
    <t>Hexaware will deliver the recalculation after override capability through a modular cloud application using configurable forms, workflow, APIs, audit events and automated tests. The implementation will expose auditable APIs and automated tests aligned to the stated acceptance criterion.</t>
  </si>
  <si>
    <t>Hexaware will deliver the prior output retention capability through a metadata-driven template and mapping service that validates source data and generates versioned outputs. The implementation will expose auditable APIs and automated tests aligned to the stated acceptance criterion.</t>
  </si>
  <si>
    <t>Hexaware will deliver the override record capability through a secure multi-tenant web application with configurable entity relationships, validation and role-based access. The implementation will expose auditable APIs and automated tests aligned to the stated acceptance criterion.</t>
  </si>
  <si>
    <t>Hexaware will deliver the apply-forward choice capability through a modular cloud application using configurable forms, workflow, APIs, audit events and automated tests. The implementation will expose auditable APIs and automated tests aligned to the stated acceptance criterion.</t>
  </si>
  <si>
    <t>Hexaware will deliver the state reference library capability through a modular cloud application using configurable forms, workflow, APIs, audit events and automated tests. The implementation will expose auditable APIs and automated tests aligned to the stated acceptance criterion.</t>
  </si>
  <si>
    <t>Hexaware will deliver the reference links from rules and reports capability through a versioned rules service, effective-dated reference data, explainable calculations and analyst review. The implementation will expose auditable APIs and automated tests aligned to the stated acceptance criterion.</t>
  </si>
  <si>
    <t>Hexaware will deliver the regulation and submission links capability through a modular cloud application using configurable forms, workflow, APIs, audit events and automated tests. The implementation will expose auditable APIs and automated tests aligned to the stated acceptance criterion.</t>
  </si>
  <si>
    <t>Two Labs remains accountable for supplying and approving authoritative regulatory content, interpretations and decision rules.</t>
  </si>
  <si>
    <t>Hexaware will deliver the template refresh capability through a modular cloud application using configurable forms, workflow, APIs, audit events and automated tests. The implementation will expose auditable APIs and automated tests aligned to the stated acceptance criterion.</t>
  </si>
  <si>
    <t>Hexaware will deliver the rules view capability through a versioned rules service, effective-dated reference data, explainable calculations and analyst review. The implementation will expose auditable APIs and automated tests aligned to the stated acceptance criterion.</t>
  </si>
  <si>
    <t>Hexaware will deliver the pending bill tracking capability through a modular cloud application using configurable forms, workflow, APIs, audit events and automated tests. The implementation will expose auditable APIs and automated tests aligned to the stated acceptance criterion.</t>
  </si>
  <si>
    <t>Hexaware will deliver the bill impact note capability through a modular cloud application using configurable forms, workflow, APIs, audit events and automated tests. The implementation will expose auditable APIs and automated tests aligned to the stated acceptance criterion.</t>
  </si>
  <si>
    <t>Delivery depends on source licensing, stable access methods, permitted automation and third-party availability; Acceptance criteria must be finalized in discovery before commitment; This response assumes bespoke delivery in the implementation scope rather than an out-of-the-box product feature.</t>
  </si>
  <si>
    <t>Hexaware will deliver the module subscription record capability through a secure multi-tenant web application with configurable entity relationships, validation and role-based access. The implementation will expose auditable APIs and automated tests aligned to the stated acceptance criterion.</t>
  </si>
  <si>
    <t>Hexaware will deliver the access limited to held modules capability through a modular cloud application using configurable forms, workflow, APIs, audit events and automated tests. The implementation will expose auditable APIs and automated tests aligned to the stated acceptance criterion.</t>
  </si>
  <si>
    <t>Hexaware will deliver the client self-performed module tasks capability through a configurable workflow engine with role-based queues, state transitions, approvals, timers and audit history. The implementation will expose auditable APIs and automated tests aligned to the stated acceptance criterion.</t>
  </si>
  <si>
    <t>Hexaware will deliver the standalone and hybrid client use capability through a secure multi-tenant web application with configurable entity relationships, validation and role-based access. The implementation will expose auditable APIs and automated tests aligned to the stated acceptance criterion.</t>
  </si>
  <si>
    <t>Hexaware will deliver the shared working on client records capability through a secure multi-tenant web application with configurable entity relationships, validation and role-based access. The implementation will expose auditable APIs and automated tests aligned to the stated acceptance criterion.</t>
  </si>
  <si>
    <t>Hexaware will deliver the authenticated access capability through a modular cloud application using configurable forms, workflow, APIs, audit events and automated tests. The implementation will expose auditable APIs and automated tests aligned to the stated acceptance criterion.</t>
  </si>
  <si>
    <t>Hexaware will deliver the self-service password recovery capability through a modular cloud application using configurable forms, workflow, APIs, audit events and automated tests. The implementation will expose auditable APIs and automated tests aligned to the stated acceptance criterion.</t>
  </si>
  <si>
    <t>Hexaware will deliver the second-factor reset by administrators capability through a modular cloud application using configurable forms, workflow, APIs, audit events and automated tests. The implementation will expose auditable APIs and automated tests aligned to the stated acceptance criterion.</t>
  </si>
  <si>
    <t>Hexaware will deliver the user invitation and removal capability through a modular cloud application using configurable forms, workflow, APIs, audit events and automated tests. The implementation will expose auditable APIs and automated tests aligned to the stated acceptance criterion.</t>
  </si>
  <si>
    <t>Hexaware will deliver the user assignment to clients and projects capability through a configurable workflow engine with role-based queues, state transitions, approvals, timers and audit history. The implementation will expose auditable APIs and automated tests aligned to the stated acceptance criterion.</t>
  </si>
  <si>
    <t>Hexaware will deliver the access restricted to assignments capability through a configurable workflow engine with role-based queues, state transitions, approvals, timers and audit history. The implementation will expose auditable APIs and automated tests aligned to the stated acceptance criterion.</t>
  </si>
  <si>
    <t>Hexaware will deliver the internal and client function separation capability through a secure multi-tenant web application with configurable entity relationships, validation and role-based access. The implementation will expose auditable APIs and automated tests aligned to the stated acceptance criterion.</t>
  </si>
  <si>
    <t>Hexaware will deliver the deactivated client administrator handling capability through a secure multi-tenant web application with configurable entity relationships, validation and role-based access. The implementation will expose auditable APIs and automated tests aligned to the stated acceptance criterion.</t>
  </si>
  <si>
    <t>Hexaware will deliver the curated regulatory update delivery capability through a modular cloud application using configurable forms, workflow, APIs, audit events and automated tests. The implementation will expose auditable APIs and automated tests aligned to the stated acceptance criterion.</t>
  </si>
  <si>
    <t>Hexaware will deliver the regulatory intelligence purchasable alone or as hybrid capability through a modular cloud application using configurable forms, workflow, APIs, audit events and automated tests. The implementation will expose auditable APIs and automated tests aligned to the stated acceptance criterion.</t>
  </si>
  <si>
    <t>Hexaware will deliver the updates only to paying subscribers capability through a modular cloud application using configurable forms, workflow, APIs, audit events and automated tests. The implementation will expose auditable APIs and automated tests aligned to the stated acceptance criterion.</t>
  </si>
  <si>
    <t>Hexaware will deliver the account manager release control capability through a modular cloud application using configurable forms, workflow, APIs, audit events and automated tests. The implementation will expose auditable APIs and automated tests aligned to the stated acceptance criterion.</t>
  </si>
  <si>
    <t>Hexaware will deliver the managed-service updates outside the tool capability through a modular cloud application using configurable forms, workflow, APIs, audit events and automated tests. The implementation will expose auditable APIs and automated tests aligned to the stated acceptance criterion.</t>
  </si>
  <si>
    <t>Hexaware will deliver the source definition on curated updates capability through a modular cloud application using configurable forms, workflow, APIs, audit events and automated tests. The implementation will expose auditable APIs and automated tests aligned to the stated acceptance criterion.</t>
  </si>
  <si>
    <t>Hexaware will deliver the archive of past updates capability through a modular cloud application using configurable forms, workflow, APIs, audit events and automated tests. The implementation will expose auditable APIs and automated tests aligned to the stated acceptance criterion.</t>
  </si>
  <si>
    <t>Hexaware will deliver the past, present and future regulations view capability through role-based web views, indexed search, configurable filters, status models and exportable dashboards. The implementation will expose auditable APIs and automated tests aligned to the stated acceptance criterion.</t>
  </si>
  <si>
    <t>Hexaware will deliver the renewal and due-item reminders capability through event-driven notifications with configurable templates, schedules, recipient rules and delivery logging. The implementation will expose auditable APIs and automated tests aligned to the stated acceptance criterion.</t>
  </si>
  <si>
    <t>Hexaware will deliver the expiring-document notice capability through secure object storage, malware scanning, document metadata, checklist workflows and controlled download links. The implementation will expose auditable APIs and automated tests aligned to the stated acceptance criterion.</t>
  </si>
  <si>
    <t>Hexaware will deliver the client intake activity alert capability through event-driven notifications with configurable templates, schedules, recipient rules and delivery logging. The implementation will expose auditable APIs and automated tests aligned to the stated acceptance criterion.</t>
  </si>
  <si>
    <t>Hexaware will deliver the periodic intake review prompt capability through event-driven notifications with configurable templates, schedules, recipient rules and delivery logging. The implementation will expose auditable APIs and automated tests aligned to the stated acceptance criterion.</t>
  </si>
  <si>
    <t>Two Labs remains accountable for supplying and approving authoritative regulatory content, interpretations and decision rules; Final service levels, evidence, hosting region and operating model are subject to architecture and commercial confirmation; This response assumes bespoke delivery in the implementation scope rather than an out-of-the-box product feature.</t>
  </si>
  <si>
    <t>Hexaware will address accuracy of rule-based dpt results through deterministic rule execution, precision controls, regression test packs and traceable expected results. Compliance will be demonstrated with architecture evidence, test results, monitoring records and agreed operational reports.</t>
  </si>
  <si>
    <t>Hexaware will address time-correct rule application through effective-dated records, immutable history, versioned rules and controlled configuration promotion. Compliance will be demonstrated with architecture evidence, test results, monitoring records and agreed operational reports.</t>
  </si>
  <si>
    <t>Hexaware will address adaptability to regulatory change through effective-dated records, immutable history, versioned rules and controlled configuration promotion. Compliance will be demonstrated with architecture evidence, test results, monitoring records and agreed operational reports.</t>
  </si>
  <si>
    <t>Two Labs remains accountable for supplying and approving authoritative regulatory content, interpretations and decision rules; Final service levels, evidence, hosting region and operating model are subject to architecture and commercial confirmation; Acceptance criteria must be finalized in discovery before commitment; This response assumes bespoke delivery in the implementation scope rather than an out-of-the-box product feature.</t>
  </si>
  <si>
    <t>Hexaware will address calculation precision and rounding through deterministic rule execution, precision controls, regression test packs and traceable expected results. Compliance will be demonstrated with architecture evidence, test results, monitoring records and agreed operational reports.</t>
  </si>
  <si>
    <t>Final service levels, evidence, hosting region and operating model are subject to architecture and commercial confirmation; This response assumes bespoke delivery in the implementation scope rather than an out-of-the-box product feature.</t>
  </si>
  <si>
    <t>Hexaware will address state-mandated output formats through deterministic rule execution, precision controls, regression test packs and traceable expected results. Compliance will be demonstrated with architecture evidence, test results, monitoring records and agreed operational reports.</t>
  </si>
  <si>
    <t>Hexaware will address downloadable outputs through controlled export services with generated spreadsheets and state-specific submission formats. Compliance will be demonstrated with architecture evidence, test results, monitoring records and agreed operational reports.</t>
  </si>
  <si>
    <t>Standard product capability</t>
  </si>
  <si>
    <t>Hexaware will address authenticated access through cloud-native identity controls, least-privilege access, tenant isolation, encryption and security test evidence. Compliance will be demonstrated with architecture evidence, test results, monitoring records and agreed operational reports.</t>
  </si>
  <si>
    <t>Final service levels, evidence, hosting region and operating model are subject to architecture and commercial confirmation.</t>
  </si>
  <si>
    <t>Hexaware will address role- and assignment-based access through cloud-native identity controls, least-privilege access, tenant isolation, encryption and security test evidence. Compliance will be demonstrated with architecture evidence, test results, monitoring records and agreed operational reports.</t>
  </si>
  <si>
    <t>Hexaware will address separation of client data between clients through cloud-native identity controls, least-privilege access, tenant isolation, encryption and security test evidence. Compliance will be demonstrated with architecture evidence, test results, monitoring records and agreed operational reports.</t>
  </si>
  <si>
    <t>Hexaware will address protection of sensitive and confidential information through cloud-native identity controls, least-privilege access, tenant isolation, encryption and security test evidence. Compliance will be demonstrated with architecture evidence, test results, monitoring records and agreed operational reports.</t>
  </si>
  <si>
    <t>Sensitive-data handling, retention, masking and privileged-access controls require security and privacy approval; Final service levels, evidence, hosting region and operating model are subject to architecture and commercial confirmation; Acceptance criteria must be finalized in discovery before commitment.</t>
  </si>
  <si>
    <t>Hexaware will address retention of sl licence history through effective-dated records, immutable history, versioned rules and controlled configuration promotion. Compliance will be demonstrated with architecture evidence, test results, monitoring records and agreed operational reports.</t>
  </si>
  <si>
    <t>Migration scope, source quality, mapping and reconciliation criteria must be confirmed after profiling; Final service levels, evidence, hosting region and operating model are subject to architecture and commercial confirmation; Acceptance criteria must be finalized in discovery before commitment; This response assumes bespoke delivery in the implementation scope rather than an out-of-the-box product feature.</t>
  </si>
  <si>
    <t>Hexaware will address retention of dpt history for discontinued requirements through effective-dated records, immutable history, versioned rules and controlled configuration promotion. Compliance will be demonstrated with architecture evidence, test results, monitoring records and agreed operational reports.</t>
  </si>
  <si>
    <t>Two Labs remains accountable for supplying and approving authoritative regulatory content, interpretations and decision rules; Migration scope, source quality, mapping and reconciliation criteria must be confirmed after profiling; Final service levels, evidence, hosting region and operating model are subject to architecture and commercial confirmation; This response assumes bespoke delivery in the implementation scope rather than an out-of-the-box product feature.</t>
  </si>
  <si>
    <t>Hexaware will address capacity for state licensing workload through a scalable cloud architecture with monitoring, autoscaling, backup/recovery controls and measurable service telemetry. Compliance will be demonstrated with architecture evidence, test results, monitoring records and agreed operational reports.</t>
  </si>
  <si>
    <t>Final service levels, evidence, hosting region and operating model are subject to architecture and commercial confirmation; Disclosed volumes must be confirmed before sizing and pricing can be committed.</t>
  </si>
  <si>
    <t>Baseline option: implement a monitored service sized to confirmed volumes; price higher capacity or service levels separately after confirmation.</t>
  </si>
  <si>
    <t>Hexaware will address capacity for dpt coverage through a scalable cloud architecture with monitoring, autoscaling, backup/recovery controls and measurable service telemetry. Compliance will be demonstrated with architecture evidence, test results, monitoring records and agreed operational reports.</t>
  </si>
  <si>
    <t>Hexaware will address curated regulatory content quality through workflow controls, audit events, dashboards and exportable compliance evidence. Compliance will be demonstrated with architecture evidence, test results, monitoring records and agreed operational reports.</t>
  </si>
  <si>
    <t>Hexaware will address due-date visibility within advance-notice windows through workflow controls, audit events, dashboards and exportable compliance evidence. Compliance will be demonstrated with architecture evidence, test results, monitoring records and agreed operational reports.</t>
  </si>
  <si>
    <t>Hexaware will address measurable on-time submission through workflow controls, audit events, dashboards and exportable compliance evidence. Compliance will be demonstrated with architecture evidence, test results, monitoring records and agreed operational reports.</t>
  </si>
  <si>
    <t>Final service levels, evidence, hosting region and operating model are subject to architecture and commercial confirmation; Acceptance criteria must be finalized in discovery before commitment; This response assumes bespoke delivery in the implementation scope rather than an out-of-the-box product feature.</t>
  </si>
  <si>
    <t>Hexaware will implement officer and representative data through a secured canonical data model with field-level access, role assignments, audit history and encryption controls. Data validation, lineage, migration reconciliation and access controls will be verified against the approved data dictionary.</t>
  </si>
  <si>
    <t>Two Labs remains accountable for supplying and approving authoritative regulatory content, interpretations and decision rules; Sensitive-data handling, retention, masking and privileged-access controls require security and privacy approval; This response assumes bespoke delivery in the implementation scope rather than an out-of-the-box product feature.</t>
  </si>
  <si>
    <t>Hexaware will implement licensing products, contacts and activity data through a canonical relational data model with validation, referential integrity, audit history and role-based access. Data validation, lineage, migration reconciliation and access controls will be verified against the approved data dictionary.</t>
  </si>
  <si>
    <t>Two Labs remains accountable for supplying and approving authoritative regulatory content, interpretations and decision rules; Delivery depends on source licensing, stable access methods, permitted automation and third-party availability; Acceptance criteria must be finalized in discovery before commitment.</t>
  </si>
  <si>
    <t>Hexaware will implement licence records through a canonical relational data model with validation, referential integrity, audit history and role-based access. Data validation, lineage, migration reconciliation and access controls will be verified against the approved data dictionary.</t>
  </si>
  <si>
    <t>Hexaware will implement deficiency and state correspondence records through a canonical relational data model with validation, referential integrity, audit history and role-based access. Data validation, lineage, migration reconciliation and access controls will be verified against the approved data dictionary.</t>
  </si>
  <si>
    <t>Two Labs remains accountable for supplying and approving authoritative regulatory content, interpretations and decision rules; Migration scope, source quality, mapping and reconciliation criteria must be confirmed after profiling; Acceptance criteria must be finalized in discovery before commitment; This response assumes bespoke delivery in the implementation scope rather than an out-of-the-box product feature.</t>
  </si>
  <si>
    <t>Hexaware will implement state-system access details through a secured canonical data model with field-level access, role assignments, audit history and encryption controls. Data validation, lineage, migration reconciliation and access controls will be verified against the approved data dictionary.</t>
  </si>
  <si>
    <t>Two Labs remains accountable for supplying and approving authoritative regulatory content, interpretations and decision rules; Migration scope, source quality, mapping and reconciliation criteria must be confirmed after profiling; Sensitive-data handling, retention, masking and privileged-access controls require security and privacy approval; Acceptance criteria must be finalized in discovery before commitment.</t>
  </si>
  <si>
    <t>Hexaware will implement renewal data through a canonical relational data model with validation, referential integrity, audit history and role-based access. Data validation, lineage, migration reconciliation and access controls will be verified against the approved data dictionary.</t>
  </si>
  <si>
    <t>Hexaware will implement product and ndc data through a canonical relational data model with validation, referential integrity, audit history and role-based access. Data validation, lineage, migration reconciliation and access controls will be verified against the approved data dictionary.</t>
  </si>
  <si>
    <t>Two Labs remains accountable for supplying and approving authoritative regulatory content, interpretations and decision rules; Delivery depends on source licensing, stable access methods, permitted automation and third-party availability; Automation accuracy thresholds, representative test data and human exception review must be agreed; 100% straight-through accuracy is not assumed; This response assumes bespoke delivery in the implementation scope rather than an out-of-the-box product feature.</t>
  </si>
  <si>
    <t>Hexaware will implement state report catalogue and rule definitions through governed reference-data entities with effective dates, approval workflow and traceable rule versions. Data validation, lineage, migration reconciliation and access controls will be verified against the approved data dictionary.</t>
  </si>
  <si>
    <t>Two Labs remains accountable for supplying and approving authoritative regulatory content, interpretations and decision rules; Acceptance criteria must be finalized in discovery before commitment.</t>
  </si>
  <si>
    <t>Hexaware will implement scenario modelling output through a metadata-driven document repository with versioning, classification, access controls and linked business records. Data validation, lineage, migration reconciliation and access controls will be verified against the approved data dictionary.</t>
  </si>
  <si>
    <t>Two Labs remains accountable for supplying and approving authoritative regulatory content, interpretations and decision rules; Delivery depends on source licensing, stable access methods, permitted automation and third-party availability; Migration scope, source quality, mapping and reconciliation criteria must be confirmed after profiling; This response assumes bespoke delivery in the implementation scope rather than an out-of-the-box product feature.</t>
  </si>
  <si>
    <t>Hexaware will implement report detail data through a canonical relational data model with validation, referential integrity, audit history and role-based access. Data validation, lineage, migration reconciliation and access controls will be verified against the approved data dictionary.</t>
  </si>
  <si>
    <t>Hexaware will implement trade-secret justification through a canonical relational data model with validation, referential integrity, audit history and role-based access. Data validation, lineage, migration reconciliation and access controls will be verified against the approved data dictionary.</t>
  </si>
  <si>
    <t>Two Labs remains accountable for supplying and approving authoritative regulatory content, interpretations and decision rules; Sensitive-data handling, retention, masking and privileged-access controls require security and privacy approval; Acceptance criteria must be finalized in discovery before commitment; This response assumes bespoke delivery in the implementation scope rather than an out-of-the-box product feature.</t>
  </si>
  <si>
    <t>Hexaware will implement state reference library content through governed reference-data entities with effective dates, approval workflow and traceable rule versions. Data validation, lineage, migration reconciliation and access controls will be verified against the approved data dictionary.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</si>
</sst>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9"/>
      <color rgb="FF6F6F6E"/>
      <name val="Calibri"/>
      <charset val="1"/>
    </font>
    <font>
      <sz val="16"/>
      <color rgb="FF7119F4"/>
      <name val="Calibri Light"/>
      <charset val="1"/>
    </font>
    <font>
      <i/>
      <sz val="9"/>
      <color rgb="FF6F6F6E"/>
      <name val="Calibri"/>
      <charset val="1"/>
    </font>
    <font>
      <b/>
      <sz val="9"/>
      <color rgb="FFC00000"/>
      <name val="Calibri"/>
      <charset val="1"/>
    </font>
    <font>
      <b/>
      <sz val="11"/>
      <color rgb="FF7119F4"/>
      <name val="Calibri"/>
      <charset val="1"/>
    </font>
    <font>
      <sz val="10"/>
      <color rgb="FF222222"/>
      <name val="Calibri"/>
      <charset val="1"/>
    </font>
    <font>
      <i/>
      <sz val="10"/>
      <color rgb="FF6F6F6E"/>
      <name val="Calibri"/>
      <charset val="1"/>
    </font>
    <font>
      <b/>
      <sz val="10"/>
      <color rgb="FFFFFFFF"/>
      <name val="Calibri"/>
      <charset val="1"/>
    </font>
    <font>
      <b/>
      <sz val="11"/>
      <name val="Calibri"/>
      <charset val="1"/>
    </font>
  </fonts>
  <fills count="5">
    <fill>
      <patternFill patternType="none"/>
    </fill>
    <fill>
      <patternFill patternType="gray125"/>
    </fill>
    <fill>
      <patternFill patternType="solid">
        <fgColor rgb="FF7119F4"/>
        <bgColor rgb="FF5412B5"/>
      </patternFill>
    </fill>
    <fill>
      <patternFill patternType="solid">
        <fgColor rgb="FF5412B5"/>
        <bgColor rgb="FF7119F4"/>
      </patternFill>
    </fill>
    <fill>
      <patternFill patternType="solid">
        <fgColor rgb="FFEFE7FE"/>
        <bgColor rgb="FFFFFFFF"/>
      </patternFill>
    </fill>
  </fills>
  <borders count="2">
    <border>
      <left/>
      <right/>
      <top/>
      <bottom/>
      <diagonal/>
    </border>
    <border>
      <left style="thin">
        <color rgb="FFAEAEAE"/>
      </left>
      <right style="thin">
        <color rgb="FFAEAEAE"/>
      </right>
      <top style="thin">
        <color rgb="FFAEAEAE"/>
      </top>
      <bottom style="thin">
        <color rgb="FFAEAEAE"/>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6" fillId="0" borderId="0" xfId="0" applyFont="1" applyAlignment="1">
      <alignment vertical="top" wrapText="1"/>
    </xf>
    <xf numFmtId="0" fontId="5" fillId="0" borderId="0" xfId="0" applyFont="1"/>
    <xf numFmtId="0" fontId="7" fillId="0" borderId="0" xfId="0" applyFont="1" applyAlignment="1">
      <alignment wrapText="1"/>
    </xf>
    <xf numFmtId="0" fontId="8" fillId="2" borderId="1" xfId="0" applyFont="1" applyFill="1" applyBorder="1" applyAlignment="1">
      <alignment vertical="center" wrapText="1"/>
    </xf>
    <xf numFmtId="0" fontId="6" fillId="0" borderId="1" xfId="0" applyFont="1" applyBorder="1" applyAlignment="1">
      <alignment vertical="top" wrapText="1"/>
    </xf>
    <xf numFmtId="0" fontId="8" fillId="3" borderId="1" xfId="0" applyFont="1" applyFill="1" applyBorder="1" applyAlignment="1">
      <alignment vertical="center" wrapText="1"/>
    </xf>
    <xf numFmtId="0" fontId="6" fillId="4" borderId="1" xfId="0" applyFont="1" applyFill="1" applyBorder="1" applyAlignment="1">
      <alignment vertical="top" wrapText="1"/>
    </xf>
    <xf numFmtId="0" fontId="6" fillId="0" borderId="0" xfId="0" applyFont="1"/>
    <xf numFmtId="3" fontId="6" fillId="4" borderId="1" xfId="0" applyNumberFormat="1" applyFont="1" applyFill="1" applyBorder="1" applyAlignment="1">
      <alignment vertical="top" wrapText="1"/>
    </xf>
    <xf numFmtId="0" fontId="9" fillId="0" borderId="0" xfId="0" applyFont="1"/>
    <xf numFmtId="3" fontId="9" fillId="0" borderId="0" xfId="0" applyNumberFormat="1" applyFont="1"/>
    <xf numFmtId="3" fontId="6"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7119F4"/>
      <rgbColor rgb="FF008080"/>
      <rgbColor rgb="FFAEAEAE"/>
      <rgbColor rgb="FF808080"/>
      <rgbColor rgb="FF9999FF"/>
      <rgbColor rgb="FF993366"/>
      <rgbColor rgb="FFEFE7FE"/>
      <rgbColor rgb="FFCCFFFF"/>
      <rgbColor rgb="FF5412B5"/>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F6F6E"/>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zoomScaleNormal="100" workbookViewId="0"/>
  </sheetViews>
  <sheetFormatPr defaultColWidth="8.6328125" defaultRowHeight="14.5" x14ac:dyDescent="0.35"/>
  <cols>
    <col min="1" max="1" width="140" customWidth="1"/>
  </cols>
  <sheetData>
    <row r="1" spans="1:1" x14ac:dyDescent="0.35">
      <c r="A1" s="1" t="s">
        <v>0</v>
      </c>
    </row>
    <row r="2" spans="1:1" ht="21" x14ac:dyDescent="0.5">
      <c r="A2" s="2" t="s">
        <v>1</v>
      </c>
    </row>
    <row r="3" spans="1:1" x14ac:dyDescent="0.35">
      <c r="A3" s="3" t="s">
        <v>2</v>
      </c>
    </row>
    <row r="4" spans="1:1" x14ac:dyDescent="0.35">
      <c r="A4" s="4" t="s">
        <v>3</v>
      </c>
    </row>
    <row r="6" spans="1:1" x14ac:dyDescent="0.35">
      <c r="A6" s="5" t="s">
        <v>4</v>
      </c>
    </row>
    <row r="7" spans="1:1" ht="26" x14ac:dyDescent="0.35">
      <c r="A7" s="6" t="s">
        <v>5</v>
      </c>
    </row>
    <row r="8" spans="1:1" x14ac:dyDescent="0.35">
      <c r="A8" s="6" t="s">
        <v>6</v>
      </c>
    </row>
    <row r="9" spans="1:1" x14ac:dyDescent="0.35">
      <c r="A9" s="6"/>
    </row>
    <row r="10" spans="1:1" x14ac:dyDescent="0.35">
      <c r="A10" s="5" t="s">
        <v>7</v>
      </c>
    </row>
    <row r="11" spans="1:1" x14ac:dyDescent="0.35">
      <c r="A11" s="6" t="s">
        <v>8</v>
      </c>
    </row>
    <row r="12" spans="1:1" x14ac:dyDescent="0.35">
      <c r="A12" s="6" t="s">
        <v>9</v>
      </c>
    </row>
    <row r="13" spans="1:1" x14ac:dyDescent="0.35">
      <c r="A13" s="6" t="s">
        <v>10</v>
      </c>
    </row>
    <row r="14" spans="1:1" x14ac:dyDescent="0.35">
      <c r="A14" s="6" t="s">
        <v>11</v>
      </c>
    </row>
    <row r="15" spans="1:1" x14ac:dyDescent="0.35">
      <c r="A15" s="6" t="s">
        <v>12</v>
      </c>
    </row>
    <row r="16" spans="1:1" x14ac:dyDescent="0.35">
      <c r="A16" s="6"/>
    </row>
    <row r="17" spans="1:1" x14ac:dyDescent="0.35">
      <c r="A17" s="5" t="s">
        <v>13</v>
      </c>
    </row>
    <row r="18" spans="1:1" x14ac:dyDescent="0.35">
      <c r="A18" s="6" t="s">
        <v>14</v>
      </c>
    </row>
    <row r="19" spans="1:1" x14ac:dyDescent="0.35">
      <c r="A19" s="6" t="s">
        <v>15</v>
      </c>
    </row>
    <row r="20" spans="1:1" x14ac:dyDescent="0.35">
      <c r="A20" s="6" t="s">
        <v>16</v>
      </c>
    </row>
    <row r="21" spans="1:1" x14ac:dyDescent="0.35">
      <c r="A21" s="6" t="s">
        <v>17</v>
      </c>
    </row>
    <row r="22" spans="1:1" x14ac:dyDescent="0.35">
      <c r="A22" s="6" t="s">
        <v>18</v>
      </c>
    </row>
    <row r="23" spans="1:1" x14ac:dyDescent="0.35">
      <c r="A23" s="6"/>
    </row>
    <row r="24" spans="1:1" x14ac:dyDescent="0.35">
      <c r="A24" s="5" t="s">
        <v>19</v>
      </c>
    </row>
    <row r="25" spans="1:1" ht="26" x14ac:dyDescent="0.35">
      <c r="A25" s="6" t="s">
        <v>20</v>
      </c>
    </row>
    <row r="26" spans="1:1" x14ac:dyDescent="0.35">
      <c r="A26" s="6"/>
    </row>
    <row r="27" spans="1:1" x14ac:dyDescent="0.35">
      <c r="A27" s="5" t="s">
        <v>21</v>
      </c>
    </row>
    <row r="28" spans="1:1" ht="26" x14ac:dyDescent="0.35">
      <c r="A28" s="6" t="s">
        <v>22</v>
      </c>
    </row>
    <row r="29" spans="1:1" x14ac:dyDescent="0.35">
      <c r="A29" s="6" t="s">
        <v>23</v>
      </c>
    </row>
    <row r="31" spans="1:1" x14ac:dyDescent="0.35">
      <c r="A31" s="7" t="s">
        <v>24</v>
      </c>
    </row>
    <row r="32" spans="1:1" ht="26.5" x14ac:dyDescent="0.35">
      <c r="A32" s="8" t="s">
        <v>25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8.6328125" defaultRowHeight="14.5" x14ac:dyDescent="0.35"/>
  <cols>
    <col min="1" max="1" width="36" customWidth="1"/>
    <col min="2" max="2" width="22" customWidth="1"/>
  </cols>
  <sheetData>
    <row r="1" spans="1:2" x14ac:dyDescent="0.35">
      <c r="A1" s="1" t="s">
        <v>0</v>
      </c>
    </row>
    <row r="2" spans="1:2" ht="21" x14ac:dyDescent="0.5">
      <c r="A2" s="2" t="s">
        <v>26</v>
      </c>
    </row>
    <row r="3" spans="1:2" x14ac:dyDescent="0.35">
      <c r="A3" s="3" t="s">
        <v>27</v>
      </c>
    </row>
    <row r="4" spans="1:2" x14ac:dyDescent="0.35">
      <c r="A4" s="4" t="s">
        <v>3</v>
      </c>
    </row>
    <row r="6" spans="1:2" ht="42" customHeight="1" x14ac:dyDescent="0.35">
      <c r="A6" s="9" t="s">
        <v>28</v>
      </c>
      <c r="B6" s="9" t="s">
        <v>29</v>
      </c>
    </row>
    <row r="7" spans="1:2" x14ac:dyDescent="0.35">
      <c r="A7" s="10" t="s">
        <v>30</v>
      </c>
      <c r="B7" s="10">
        <f>COUNTIF('Required Requirements'!O7:O217,"Fully supported")</f>
        <v>3</v>
      </c>
    </row>
    <row r="8" spans="1:2" x14ac:dyDescent="0.35">
      <c r="A8" s="10" t="s">
        <v>31</v>
      </c>
      <c r="B8" s="10">
        <f>COUNTIF('Required Requirements'!O7:O217,"Partially supported")</f>
        <v>14</v>
      </c>
    </row>
    <row r="9" spans="1:2" x14ac:dyDescent="0.35">
      <c r="A9" s="10" t="s">
        <v>32</v>
      </c>
      <c r="B9" s="10">
        <f>COUNTIF('Required Requirements'!O7:O217,"Requires development")</f>
        <v>192</v>
      </c>
    </row>
    <row r="10" spans="1:2" x14ac:dyDescent="0.35">
      <c r="A10" s="10" t="s">
        <v>33</v>
      </c>
      <c r="B10" s="10">
        <f>COUNTIF('Required Requirements'!O7:O217,"Not supported")</f>
        <v>0</v>
      </c>
    </row>
    <row r="11" spans="1:2" x14ac:dyDescent="0.35">
      <c r="A11" s="10" t="s">
        <v>34</v>
      </c>
      <c r="B11" s="10">
        <f>COUNTIF('Required Requirements'!O7:O217,"Clarification required")</f>
        <v>2</v>
      </c>
    </row>
    <row r="12" spans="1:2" x14ac:dyDescent="0.35">
      <c r="A12" s="10" t="s">
        <v>35</v>
      </c>
      <c r="B12" s="10">
        <f>COUNTBLANK('Required Requirements'!O7:O217)</f>
        <v>0</v>
      </c>
    </row>
    <row r="13" spans="1:2" x14ac:dyDescent="0.35">
      <c r="A13" s="10" t="s">
        <v>36</v>
      </c>
      <c r="B13" s="10">
        <v>211</v>
      </c>
    </row>
  </sheetData>
  <autoFilter ref="A6:B13"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7"/>
  <sheetViews>
    <sheetView tabSelected="1" zoomScaleNormal="100" workbookViewId="0">
      <pane xSplit="1" ySplit="6" topLeftCell="Q60" activePane="bottomRight" state="frozen"/>
      <selection pane="topRight" activeCell="B1" sqref="B1"/>
      <selection pane="bottomLeft" activeCell="A7" sqref="A7"/>
      <selection pane="bottomRight" activeCell="Q11" sqref="Q11"/>
    </sheetView>
  </sheetViews>
  <sheetFormatPr defaultColWidth="8.6328125" defaultRowHeight="14.5" x14ac:dyDescent="0.35"/>
  <cols>
    <col min="1" max="2" width="12" customWidth="1"/>
    <col min="3" max="3" width="14" customWidth="1"/>
    <col min="4" max="4" width="9" customWidth="1"/>
    <col min="5" max="5" width="22" customWidth="1"/>
    <col min="6" max="6" width="24" customWidth="1"/>
    <col min="7" max="7" width="50" customWidth="1"/>
    <col min="8" max="8" width="34" customWidth="1"/>
    <col min="9" max="10" width="10" customWidth="1"/>
    <col min="11" max="11" width="14" customWidth="1"/>
    <col min="12" max="12" width="44" customWidth="1"/>
    <col min="13" max="13" width="28" customWidth="1"/>
    <col min="14" max="14" width="10" customWidth="1"/>
    <col min="15" max="15" width="16" customWidth="1"/>
    <col min="16" max="16" width="18" customWidth="1"/>
    <col min="17" max="17" width="40" customWidth="1"/>
    <col min="18" max="18" width="30" customWidth="1"/>
    <col min="19" max="19" width="26" customWidth="1"/>
    <col min="20" max="20" width="10" customWidth="1"/>
    <col min="21" max="21" width="12" customWidth="1"/>
  </cols>
  <sheetData>
    <row r="1" spans="1:21" x14ac:dyDescent="0.35">
      <c r="A1" s="1" t="s">
        <v>0</v>
      </c>
    </row>
    <row r="2" spans="1:21" ht="21" x14ac:dyDescent="0.5">
      <c r="A2" s="2" t="s">
        <v>37</v>
      </c>
    </row>
    <row r="3" spans="1:21" x14ac:dyDescent="0.35">
      <c r="A3" s="3" t="s">
        <v>38</v>
      </c>
    </row>
    <row r="4" spans="1:21" x14ac:dyDescent="0.35">
      <c r="A4" s="4" t="s">
        <v>3</v>
      </c>
    </row>
    <row r="6" spans="1:21" ht="42" customHeight="1" x14ac:dyDescent="0.35">
      <c r="A6" s="9" t="s">
        <v>39</v>
      </c>
      <c r="B6" s="9" t="s">
        <v>40</v>
      </c>
      <c r="C6" s="9" t="s">
        <v>41</v>
      </c>
      <c r="D6" s="9" t="s">
        <v>42</v>
      </c>
      <c r="E6" s="9" t="s">
        <v>43</v>
      </c>
      <c r="F6" s="9" t="s">
        <v>44</v>
      </c>
      <c r="G6" s="9" t="s">
        <v>45</v>
      </c>
      <c r="H6" s="9" t="s">
        <v>46</v>
      </c>
      <c r="I6" s="9" t="s">
        <v>47</v>
      </c>
      <c r="J6" s="9" t="s">
        <v>48</v>
      </c>
      <c r="K6" s="9" t="s">
        <v>49</v>
      </c>
      <c r="L6" s="9" t="s">
        <v>50</v>
      </c>
      <c r="M6" s="9" t="s">
        <v>51</v>
      </c>
      <c r="N6" s="9" t="s">
        <v>52</v>
      </c>
      <c r="O6" s="11" t="s">
        <v>28</v>
      </c>
      <c r="P6" s="11" t="s">
        <v>53</v>
      </c>
      <c r="Q6" s="11" t="s">
        <v>54</v>
      </c>
      <c r="R6" s="11" t="s">
        <v>55</v>
      </c>
      <c r="S6" s="11" t="s">
        <v>56</v>
      </c>
      <c r="T6" s="11" t="s">
        <v>57</v>
      </c>
      <c r="U6" s="11" t="s">
        <v>58</v>
      </c>
    </row>
    <row r="7" spans="1:21" ht="91" x14ac:dyDescent="0.35">
      <c r="A7" s="10" t="s">
        <v>59</v>
      </c>
      <c r="B7" s="10" t="s">
        <v>60</v>
      </c>
      <c r="C7" s="10" t="s">
        <v>61</v>
      </c>
      <c r="D7" s="10" t="s">
        <v>62</v>
      </c>
      <c r="E7" s="10" t="s">
        <v>63</v>
      </c>
      <c r="F7" s="10" t="s">
        <v>64</v>
      </c>
      <c r="G7" s="10" t="s">
        <v>65</v>
      </c>
      <c r="H7" s="10" t="s">
        <v>66</v>
      </c>
      <c r="I7" s="10" t="s">
        <v>67</v>
      </c>
      <c r="J7" s="10"/>
      <c r="K7" s="10" t="s">
        <v>68</v>
      </c>
      <c r="L7" s="10" t="s">
        <v>69</v>
      </c>
      <c r="M7" s="10" t="s">
        <v>70</v>
      </c>
      <c r="N7" s="10" t="s">
        <v>71</v>
      </c>
      <c r="O7" s="12" t="s">
        <v>32</v>
      </c>
      <c r="P7" s="12" t="s">
        <v>1896</v>
      </c>
      <c r="Q7" s="12" t="s">
        <v>1922</v>
      </c>
      <c r="R7" s="12" t="s">
        <v>1923</v>
      </c>
      <c r="S7" s="12" t="s">
        <v>1897</v>
      </c>
      <c r="T7" s="12"/>
      <c r="U7" s="12"/>
    </row>
    <row r="8" spans="1:21" ht="91" x14ac:dyDescent="0.35">
      <c r="A8" s="10" t="s">
        <v>72</v>
      </c>
      <c r="B8" s="10" t="s">
        <v>60</v>
      </c>
      <c r="C8" s="10" t="s">
        <v>61</v>
      </c>
      <c r="D8" s="10" t="s">
        <v>62</v>
      </c>
      <c r="E8" s="10" t="s">
        <v>63</v>
      </c>
      <c r="F8" s="10" t="s">
        <v>73</v>
      </c>
      <c r="G8" s="10" t="s">
        <v>74</v>
      </c>
      <c r="H8" s="10" t="s">
        <v>66</v>
      </c>
      <c r="I8" s="10" t="s">
        <v>67</v>
      </c>
      <c r="J8" s="10"/>
      <c r="K8" s="10" t="s">
        <v>68</v>
      </c>
      <c r="L8" s="10" t="s">
        <v>75</v>
      </c>
      <c r="M8" s="10" t="s">
        <v>70</v>
      </c>
      <c r="N8" s="10" t="s">
        <v>76</v>
      </c>
      <c r="O8" s="12" t="s">
        <v>32</v>
      </c>
      <c r="P8" s="12" t="s">
        <v>1896</v>
      </c>
      <c r="Q8" s="12" t="s">
        <v>1924</v>
      </c>
      <c r="R8" s="12" t="s">
        <v>1923</v>
      </c>
      <c r="S8" s="12" t="s">
        <v>1897</v>
      </c>
      <c r="T8" s="12"/>
      <c r="U8" s="12"/>
    </row>
    <row r="9" spans="1:21" ht="91" x14ac:dyDescent="0.35">
      <c r="A9" s="10" t="s">
        <v>77</v>
      </c>
      <c r="B9" s="10" t="s">
        <v>60</v>
      </c>
      <c r="C9" s="10" t="s">
        <v>61</v>
      </c>
      <c r="D9" s="10" t="s">
        <v>62</v>
      </c>
      <c r="E9" s="10" t="s">
        <v>63</v>
      </c>
      <c r="F9" s="10" t="s">
        <v>78</v>
      </c>
      <c r="G9" s="10" t="s">
        <v>79</v>
      </c>
      <c r="H9" s="10" t="s">
        <v>66</v>
      </c>
      <c r="I9" s="10" t="s">
        <v>67</v>
      </c>
      <c r="J9" s="10"/>
      <c r="K9" s="10" t="s">
        <v>68</v>
      </c>
      <c r="L9" s="10" t="s">
        <v>80</v>
      </c>
      <c r="M9" s="10" t="s">
        <v>70</v>
      </c>
      <c r="N9" s="10" t="s">
        <v>81</v>
      </c>
      <c r="O9" s="12" t="s">
        <v>32</v>
      </c>
      <c r="P9" s="12" t="s">
        <v>1896</v>
      </c>
      <c r="Q9" s="12" t="s">
        <v>1925</v>
      </c>
      <c r="R9" s="12" t="s">
        <v>1923</v>
      </c>
      <c r="S9" s="12" t="s">
        <v>1897</v>
      </c>
      <c r="T9" s="12"/>
      <c r="U9" s="12"/>
    </row>
    <row r="10" spans="1:21" ht="91" x14ac:dyDescent="0.35">
      <c r="A10" s="10" t="s">
        <v>82</v>
      </c>
      <c r="B10" s="10" t="s">
        <v>60</v>
      </c>
      <c r="C10" s="10" t="s">
        <v>61</v>
      </c>
      <c r="D10" s="10" t="s">
        <v>62</v>
      </c>
      <c r="E10" s="10" t="s">
        <v>63</v>
      </c>
      <c r="F10" s="10" t="s">
        <v>83</v>
      </c>
      <c r="G10" s="10" t="s">
        <v>84</v>
      </c>
      <c r="H10" s="10" t="s">
        <v>66</v>
      </c>
      <c r="I10" s="10" t="s">
        <v>67</v>
      </c>
      <c r="J10" s="10"/>
      <c r="K10" s="10" t="s">
        <v>68</v>
      </c>
      <c r="L10" s="10" t="s">
        <v>85</v>
      </c>
      <c r="M10" s="10" t="s">
        <v>70</v>
      </c>
      <c r="N10" s="10" t="s">
        <v>86</v>
      </c>
      <c r="O10" s="12" t="s">
        <v>32</v>
      </c>
      <c r="P10" s="12" t="s">
        <v>1896</v>
      </c>
      <c r="Q10" s="12" t="s">
        <v>1926</v>
      </c>
      <c r="R10" s="12" t="s">
        <v>1923</v>
      </c>
      <c r="S10" s="12" t="s">
        <v>1897</v>
      </c>
      <c r="T10" s="12"/>
      <c r="U10" s="12"/>
    </row>
    <row r="11" spans="1:21" ht="91" x14ac:dyDescent="0.35">
      <c r="A11" s="10" t="s">
        <v>87</v>
      </c>
      <c r="B11" s="10" t="s">
        <v>60</v>
      </c>
      <c r="C11" s="10" t="s">
        <v>61</v>
      </c>
      <c r="D11" s="10" t="s">
        <v>62</v>
      </c>
      <c r="E11" s="10" t="s">
        <v>63</v>
      </c>
      <c r="F11" s="10" t="s">
        <v>88</v>
      </c>
      <c r="G11" s="10" t="s">
        <v>89</v>
      </c>
      <c r="H11" s="10" t="s">
        <v>66</v>
      </c>
      <c r="I11" s="10" t="s">
        <v>67</v>
      </c>
      <c r="J11" s="10"/>
      <c r="K11" s="10" t="s">
        <v>68</v>
      </c>
      <c r="L11" s="10" t="s">
        <v>90</v>
      </c>
      <c r="M11" s="10" t="s">
        <v>70</v>
      </c>
      <c r="N11" s="10" t="s">
        <v>91</v>
      </c>
      <c r="O11" s="12" t="s">
        <v>32</v>
      </c>
      <c r="P11" s="12" t="s">
        <v>1896</v>
      </c>
      <c r="Q11" s="12" t="s">
        <v>1927</v>
      </c>
      <c r="R11" s="12" t="s">
        <v>1923</v>
      </c>
      <c r="S11" s="12" t="s">
        <v>1897</v>
      </c>
      <c r="T11" s="12"/>
      <c r="U11" s="12"/>
    </row>
    <row r="12" spans="1:21" ht="91" x14ac:dyDescent="0.35">
      <c r="A12" s="10" t="s">
        <v>92</v>
      </c>
      <c r="B12" s="10" t="s">
        <v>60</v>
      </c>
      <c r="C12" s="10" t="s">
        <v>61</v>
      </c>
      <c r="D12" s="10" t="s">
        <v>62</v>
      </c>
      <c r="E12" s="10" t="s">
        <v>63</v>
      </c>
      <c r="F12" s="10" t="s">
        <v>93</v>
      </c>
      <c r="G12" s="10" t="s">
        <v>94</v>
      </c>
      <c r="H12" s="10" t="s">
        <v>66</v>
      </c>
      <c r="I12" s="10" t="s">
        <v>67</v>
      </c>
      <c r="J12" s="10"/>
      <c r="K12" s="10" t="s">
        <v>68</v>
      </c>
      <c r="L12" s="10" t="s">
        <v>95</v>
      </c>
      <c r="M12" s="10" t="s">
        <v>70</v>
      </c>
      <c r="N12" s="10" t="s">
        <v>96</v>
      </c>
      <c r="O12" s="12" t="s">
        <v>32</v>
      </c>
      <c r="P12" s="12" t="s">
        <v>1896</v>
      </c>
      <c r="Q12" s="12" t="s">
        <v>1928</v>
      </c>
      <c r="R12" s="12" t="s">
        <v>1923</v>
      </c>
      <c r="S12" s="12" t="s">
        <v>1897</v>
      </c>
      <c r="T12" s="12"/>
      <c r="U12" s="12"/>
    </row>
    <row r="13" spans="1:21" ht="91" x14ac:dyDescent="0.35">
      <c r="A13" s="10" t="s">
        <v>97</v>
      </c>
      <c r="B13" s="10" t="s">
        <v>60</v>
      </c>
      <c r="C13" s="10" t="s">
        <v>61</v>
      </c>
      <c r="D13" s="10" t="s">
        <v>62</v>
      </c>
      <c r="E13" s="10" t="s">
        <v>63</v>
      </c>
      <c r="F13" s="10" t="s">
        <v>98</v>
      </c>
      <c r="G13" s="10" t="s">
        <v>99</v>
      </c>
      <c r="H13" s="10" t="s">
        <v>66</v>
      </c>
      <c r="I13" s="10" t="s">
        <v>67</v>
      </c>
      <c r="J13" s="10"/>
      <c r="K13" s="10" t="s">
        <v>68</v>
      </c>
      <c r="L13" s="10" t="s">
        <v>100</v>
      </c>
      <c r="M13" s="10" t="s">
        <v>70</v>
      </c>
      <c r="N13" s="10" t="s">
        <v>101</v>
      </c>
      <c r="O13" s="12" t="s">
        <v>32</v>
      </c>
      <c r="P13" s="12" t="s">
        <v>1896</v>
      </c>
      <c r="Q13" s="12" t="s">
        <v>1929</v>
      </c>
      <c r="R13" s="12" t="s">
        <v>1923</v>
      </c>
      <c r="S13" s="12" t="s">
        <v>1897</v>
      </c>
      <c r="T13" s="12"/>
      <c r="U13" s="12"/>
    </row>
    <row r="14" spans="1:21" ht="91" x14ac:dyDescent="0.35">
      <c r="A14" s="10" t="s">
        <v>102</v>
      </c>
      <c r="B14" s="10" t="s">
        <v>60</v>
      </c>
      <c r="C14" s="10" t="s">
        <v>61</v>
      </c>
      <c r="D14" s="10" t="s">
        <v>62</v>
      </c>
      <c r="E14" s="10" t="s">
        <v>63</v>
      </c>
      <c r="F14" s="10" t="s">
        <v>103</v>
      </c>
      <c r="G14" s="10" t="s">
        <v>104</v>
      </c>
      <c r="H14" s="10" t="s">
        <v>66</v>
      </c>
      <c r="I14" s="10" t="s">
        <v>67</v>
      </c>
      <c r="J14" s="10"/>
      <c r="K14" s="10" t="s">
        <v>68</v>
      </c>
      <c r="L14" s="10" t="s">
        <v>105</v>
      </c>
      <c r="M14" s="10" t="s">
        <v>70</v>
      </c>
      <c r="N14" s="10" t="s">
        <v>106</v>
      </c>
      <c r="O14" s="12" t="s">
        <v>32</v>
      </c>
      <c r="P14" s="12" t="s">
        <v>1896</v>
      </c>
      <c r="Q14" s="12" t="s">
        <v>1930</v>
      </c>
      <c r="R14" s="12" t="s">
        <v>1923</v>
      </c>
      <c r="S14" s="12" t="s">
        <v>1897</v>
      </c>
      <c r="T14" s="12"/>
      <c r="U14" s="12"/>
    </row>
    <row r="15" spans="1:21" ht="104" x14ac:dyDescent="0.35">
      <c r="A15" s="10" t="s">
        <v>107</v>
      </c>
      <c r="B15" s="10" t="s">
        <v>60</v>
      </c>
      <c r="C15" s="10" t="s">
        <v>61</v>
      </c>
      <c r="D15" s="10" t="s">
        <v>108</v>
      </c>
      <c r="E15" s="10" t="s">
        <v>109</v>
      </c>
      <c r="F15" s="10" t="s">
        <v>110</v>
      </c>
      <c r="G15" s="10" t="s">
        <v>111</v>
      </c>
      <c r="H15" s="10" t="s">
        <v>112</v>
      </c>
      <c r="I15" s="10" t="s">
        <v>67</v>
      </c>
      <c r="J15" s="10"/>
      <c r="K15" s="10" t="s">
        <v>113</v>
      </c>
      <c r="L15" s="10" t="s">
        <v>114</v>
      </c>
      <c r="M15" s="10" t="s">
        <v>115</v>
      </c>
      <c r="N15" s="10" t="s">
        <v>116</v>
      </c>
      <c r="O15" s="12" t="s">
        <v>32</v>
      </c>
      <c r="P15" s="12" t="s">
        <v>1896</v>
      </c>
      <c r="Q15" s="12" t="s">
        <v>1931</v>
      </c>
      <c r="R15" s="12" t="s">
        <v>1932</v>
      </c>
      <c r="S15" s="12" t="s">
        <v>1897</v>
      </c>
      <c r="T15" s="12"/>
      <c r="U15" s="12"/>
    </row>
    <row r="16" spans="1:21" ht="143" x14ac:dyDescent="0.35">
      <c r="A16" s="10" t="s">
        <v>117</v>
      </c>
      <c r="B16" s="10" t="s">
        <v>60</v>
      </c>
      <c r="C16" s="10" t="s">
        <v>61</v>
      </c>
      <c r="D16" s="10" t="s">
        <v>108</v>
      </c>
      <c r="E16" s="10" t="s">
        <v>109</v>
      </c>
      <c r="F16" s="10" t="s">
        <v>118</v>
      </c>
      <c r="G16" s="10" t="s">
        <v>119</v>
      </c>
      <c r="H16" s="10" t="s">
        <v>112</v>
      </c>
      <c r="I16" s="10" t="s">
        <v>67</v>
      </c>
      <c r="J16" s="10"/>
      <c r="K16" s="10" t="s">
        <v>113</v>
      </c>
      <c r="L16" s="10" t="s">
        <v>120</v>
      </c>
      <c r="M16" s="10" t="s">
        <v>115</v>
      </c>
      <c r="N16" s="10" t="s">
        <v>121</v>
      </c>
      <c r="O16" s="12" t="s">
        <v>32</v>
      </c>
      <c r="P16" s="12" t="s">
        <v>1896</v>
      </c>
      <c r="Q16" s="12" t="s">
        <v>1933</v>
      </c>
      <c r="R16" s="12" t="s">
        <v>1934</v>
      </c>
      <c r="S16" s="12" t="s">
        <v>1935</v>
      </c>
      <c r="T16" s="12"/>
      <c r="U16" s="12"/>
    </row>
    <row r="17" spans="1:21" ht="104" x14ac:dyDescent="0.35">
      <c r="A17" s="10" t="s">
        <v>122</v>
      </c>
      <c r="B17" s="10" t="s">
        <v>60</v>
      </c>
      <c r="C17" s="10" t="s">
        <v>61</v>
      </c>
      <c r="D17" s="10" t="s">
        <v>108</v>
      </c>
      <c r="E17" s="10" t="s">
        <v>109</v>
      </c>
      <c r="F17" s="10" t="s">
        <v>123</v>
      </c>
      <c r="G17" s="10" t="s">
        <v>124</v>
      </c>
      <c r="H17" s="10" t="s">
        <v>112</v>
      </c>
      <c r="I17" s="10" t="s">
        <v>67</v>
      </c>
      <c r="J17" s="10"/>
      <c r="K17" s="10" t="s">
        <v>113</v>
      </c>
      <c r="L17" s="10" t="s">
        <v>125</v>
      </c>
      <c r="M17" s="10" t="s">
        <v>115</v>
      </c>
      <c r="N17" s="10" t="s">
        <v>126</v>
      </c>
      <c r="O17" s="12" t="s">
        <v>32</v>
      </c>
      <c r="P17" s="12" t="s">
        <v>1896</v>
      </c>
      <c r="Q17" s="12" t="s">
        <v>1936</v>
      </c>
      <c r="R17" s="12" t="s">
        <v>1932</v>
      </c>
      <c r="S17" s="12" t="s">
        <v>1897</v>
      </c>
      <c r="T17" s="12"/>
      <c r="U17" s="12"/>
    </row>
    <row r="18" spans="1:21" ht="104" x14ac:dyDescent="0.35">
      <c r="A18" s="10" t="s">
        <v>127</v>
      </c>
      <c r="B18" s="10" t="s">
        <v>60</v>
      </c>
      <c r="C18" s="10" t="s">
        <v>61</v>
      </c>
      <c r="D18" s="10" t="s">
        <v>108</v>
      </c>
      <c r="E18" s="10" t="s">
        <v>109</v>
      </c>
      <c r="F18" s="10" t="s">
        <v>128</v>
      </c>
      <c r="G18" s="10" t="s">
        <v>129</v>
      </c>
      <c r="H18" s="10" t="s">
        <v>112</v>
      </c>
      <c r="I18" s="10" t="s">
        <v>67</v>
      </c>
      <c r="J18" s="10"/>
      <c r="K18" s="10" t="s">
        <v>68</v>
      </c>
      <c r="L18" s="10" t="s">
        <v>130</v>
      </c>
      <c r="M18" s="10" t="s">
        <v>115</v>
      </c>
      <c r="N18" s="10" t="s">
        <v>131</v>
      </c>
      <c r="O18" s="12" t="s">
        <v>32</v>
      </c>
      <c r="P18" s="12" t="s">
        <v>1896</v>
      </c>
      <c r="Q18" s="12" t="s">
        <v>1937</v>
      </c>
      <c r="R18" s="12" t="s">
        <v>1932</v>
      </c>
      <c r="S18" s="12" t="s">
        <v>1897</v>
      </c>
      <c r="T18" s="12"/>
      <c r="U18" s="12"/>
    </row>
    <row r="19" spans="1:21" ht="104" x14ac:dyDescent="0.35">
      <c r="A19" s="10" t="s">
        <v>132</v>
      </c>
      <c r="B19" s="10" t="s">
        <v>60</v>
      </c>
      <c r="C19" s="10" t="s">
        <v>61</v>
      </c>
      <c r="D19" s="10" t="s">
        <v>108</v>
      </c>
      <c r="E19" s="10" t="s">
        <v>109</v>
      </c>
      <c r="F19" s="10" t="s">
        <v>133</v>
      </c>
      <c r="G19" s="10" t="s">
        <v>134</v>
      </c>
      <c r="H19" s="10" t="s">
        <v>112</v>
      </c>
      <c r="I19" s="10" t="s">
        <v>67</v>
      </c>
      <c r="J19" s="10"/>
      <c r="K19" s="10" t="s">
        <v>113</v>
      </c>
      <c r="L19" s="10" t="s">
        <v>135</v>
      </c>
      <c r="M19" s="10" t="s">
        <v>115</v>
      </c>
      <c r="N19" s="10" t="s">
        <v>136</v>
      </c>
      <c r="O19" s="12" t="s">
        <v>32</v>
      </c>
      <c r="P19" s="12" t="s">
        <v>1896</v>
      </c>
      <c r="Q19" s="12" t="s">
        <v>1938</v>
      </c>
      <c r="R19" s="12" t="s">
        <v>1932</v>
      </c>
      <c r="S19" s="12" t="s">
        <v>1897</v>
      </c>
      <c r="T19" s="12"/>
      <c r="U19" s="12"/>
    </row>
    <row r="20" spans="1:21" ht="104" x14ac:dyDescent="0.35">
      <c r="A20" s="10" t="s">
        <v>137</v>
      </c>
      <c r="B20" s="10" t="s">
        <v>60</v>
      </c>
      <c r="C20" s="10" t="s">
        <v>61</v>
      </c>
      <c r="D20" s="10" t="s">
        <v>108</v>
      </c>
      <c r="E20" s="10" t="s">
        <v>109</v>
      </c>
      <c r="F20" s="10" t="s">
        <v>138</v>
      </c>
      <c r="G20" s="10" t="s">
        <v>139</v>
      </c>
      <c r="H20" s="10" t="s">
        <v>112</v>
      </c>
      <c r="I20" s="10" t="s">
        <v>67</v>
      </c>
      <c r="J20" s="10"/>
      <c r="K20" s="10" t="s">
        <v>68</v>
      </c>
      <c r="L20" s="10" t="s">
        <v>140</v>
      </c>
      <c r="M20" s="10" t="s">
        <v>115</v>
      </c>
      <c r="N20" s="10" t="s">
        <v>141</v>
      </c>
      <c r="O20" s="12" t="s">
        <v>32</v>
      </c>
      <c r="P20" s="12" t="s">
        <v>1896</v>
      </c>
      <c r="Q20" s="12" t="s">
        <v>1939</v>
      </c>
      <c r="R20" s="12" t="s">
        <v>1932</v>
      </c>
      <c r="S20" s="12" t="s">
        <v>1897</v>
      </c>
      <c r="T20" s="12"/>
      <c r="U20" s="12"/>
    </row>
    <row r="21" spans="1:21" ht="104" x14ac:dyDescent="0.35">
      <c r="A21" s="10" t="s">
        <v>142</v>
      </c>
      <c r="B21" s="10" t="s">
        <v>60</v>
      </c>
      <c r="C21" s="10" t="s">
        <v>61</v>
      </c>
      <c r="D21" s="10" t="s">
        <v>108</v>
      </c>
      <c r="E21" s="10" t="s">
        <v>109</v>
      </c>
      <c r="F21" s="10" t="s">
        <v>143</v>
      </c>
      <c r="G21" s="10" t="s">
        <v>144</v>
      </c>
      <c r="H21" s="10" t="s">
        <v>112</v>
      </c>
      <c r="I21" s="10" t="s">
        <v>67</v>
      </c>
      <c r="J21" s="10" t="s">
        <v>145</v>
      </c>
      <c r="K21" s="10" t="s">
        <v>68</v>
      </c>
      <c r="L21" s="10" t="s">
        <v>146</v>
      </c>
      <c r="M21" s="10" t="s">
        <v>115</v>
      </c>
      <c r="N21" s="10" t="s">
        <v>147</v>
      </c>
      <c r="O21" s="12" t="s">
        <v>32</v>
      </c>
      <c r="P21" s="12" t="s">
        <v>1896</v>
      </c>
      <c r="Q21" s="12" t="s">
        <v>1940</v>
      </c>
      <c r="R21" s="12" t="s">
        <v>1932</v>
      </c>
      <c r="S21" s="12" t="s">
        <v>1897</v>
      </c>
      <c r="T21" s="12"/>
      <c r="U21" s="12"/>
    </row>
    <row r="22" spans="1:21" ht="104" x14ac:dyDescent="0.35">
      <c r="A22" s="10" t="s">
        <v>148</v>
      </c>
      <c r="B22" s="10" t="s">
        <v>60</v>
      </c>
      <c r="C22" s="10" t="s">
        <v>61</v>
      </c>
      <c r="D22" s="10" t="s">
        <v>108</v>
      </c>
      <c r="E22" s="10" t="s">
        <v>109</v>
      </c>
      <c r="F22" s="10" t="s">
        <v>149</v>
      </c>
      <c r="G22" s="10" t="s">
        <v>150</v>
      </c>
      <c r="H22" s="10" t="s">
        <v>112</v>
      </c>
      <c r="I22" s="10" t="s">
        <v>67</v>
      </c>
      <c r="J22" s="10"/>
      <c r="K22" s="10" t="s">
        <v>68</v>
      </c>
      <c r="L22" s="10" t="s">
        <v>151</v>
      </c>
      <c r="M22" s="10" t="s">
        <v>115</v>
      </c>
      <c r="N22" s="10" t="s">
        <v>152</v>
      </c>
      <c r="O22" s="12" t="s">
        <v>32</v>
      </c>
      <c r="P22" s="12" t="s">
        <v>1896</v>
      </c>
      <c r="Q22" s="12" t="s">
        <v>1941</v>
      </c>
      <c r="R22" s="12" t="s">
        <v>1932</v>
      </c>
      <c r="S22" s="12" t="s">
        <v>1897</v>
      </c>
      <c r="T22" s="12"/>
      <c r="U22" s="12"/>
    </row>
    <row r="23" spans="1:21" ht="104" x14ac:dyDescent="0.35">
      <c r="A23" s="10" t="s">
        <v>153</v>
      </c>
      <c r="B23" s="10" t="s">
        <v>60</v>
      </c>
      <c r="C23" s="10" t="s">
        <v>61</v>
      </c>
      <c r="D23" s="10" t="s">
        <v>108</v>
      </c>
      <c r="E23" s="10" t="s">
        <v>109</v>
      </c>
      <c r="F23" s="10" t="s">
        <v>154</v>
      </c>
      <c r="G23" s="10" t="s">
        <v>155</v>
      </c>
      <c r="H23" s="10" t="s">
        <v>112</v>
      </c>
      <c r="I23" s="10" t="s">
        <v>67</v>
      </c>
      <c r="J23" s="10"/>
      <c r="K23" s="10" t="s">
        <v>68</v>
      </c>
      <c r="L23" s="10" t="s">
        <v>156</v>
      </c>
      <c r="M23" s="10" t="s">
        <v>115</v>
      </c>
      <c r="N23" s="10" t="s">
        <v>157</v>
      </c>
      <c r="O23" s="12" t="s">
        <v>32</v>
      </c>
      <c r="P23" s="12" t="s">
        <v>1896</v>
      </c>
      <c r="Q23" s="12" t="s">
        <v>1942</v>
      </c>
      <c r="R23" s="12" t="s">
        <v>1932</v>
      </c>
      <c r="S23" s="12" t="s">
        <v>1897</v>
      </c>
      <c r="T23" s="12"/>
      <c r="U23" s="12"/>
    </row>
    <row r="24" spans="1:21" ht="104" x14ac:dyDescent="0.35">
      <c r="A24" s="10" t="s">
        <v>158</v>
      </c>
      <c r="B24" s="10" t="s">
        <v>60</v>
      </c>
      <c r="C24" s="10" t="s">
        <v>61</v>
      </c>
      <c r="D24" s="10" t="s">
        <v>108</v>
      </c>
      <c r="E24" s="10" t="s">
        <v>109</v>
      </c>
      <c r="F24" s="10" t="s">
        <v>159</v>
      </c>
      <c r="G24" s="10" t="s">
        <v>160</v>
      </c>
      <c r="H24" s="10" t="s">
        <v>112</v>
      </c>
      <c r="I24" s="10" t="s">
        <v>67</v>
      </c>
      <c r="J24" s="10"/>
      <c r="K24" s="10" t="s">
        <v>68</v>
      </c>
      <c r="L24" s="10" t="s">
        <v>161</v>
      </c>
      <c r="M24" s="10" t="s">
        <v>115</v>
      </c>
      <c r="N24" s="10" t="s">
        <v>162</v>
      </c>
      <c r="O24" s="12" t="s">
        <v>32</v>
      </c>
      <c r="P24" s="12" t="s">
        <v>1896</v>
      </c>
      <c r="Q24" s="12" t="s">
        <v>1943</v>
      </c>
      <c r="R24" s="12" t="s">
        <v>1932</v>
      </c>
      <c r="S24" s="12" t="s">
        <v>1897</v>
      </c>
      <c r="T24" s="12"/>
      <c r="U24" s="12"/>
    </row>
    <row r="25" spans="1:21" ht="104" x14ac:dyDescent="0.35">
      <c r="A25" s="10" t="s">
        <v>163</v>
      </c>
      <c r="B25" s="10" t="s">
        <v>60</v>
      </c>
      <c r="C25" s="10" t="s">
        <v>61</v>
      </c>
      <c r="D25" s="10" t="s">
        <v>164</v>
      </c>
      <c r="E25" s="10" t="s">
        <v>165</v>
      </c>
      <c r="F25" s="10" t="s">
        <v>166</v>
      </c>
      <c r="G25" s="10" t="s">
        <v>167</v>
      </c>
      <c r="H25" s="10" t="s">
        <v>168</v>
      </c>
      <c r="I25" s="10" t="s">
        <v>67</v>
      </c>
      <c r="J25" s="10"/>
      <c r="K25" s="10" t="s">
        <v>68</v>
      </c>
      <c r="L25" s="10" t="s">
        <v>169</v>
      </c>
      <c r="M25" s="10" t="s">
        <v>170</v>
      </c>
      <c r="N25" s="10" t="s">
        <v>171</v>
      </c>
      <c r="O25" s="12" t="s">
        <v>32</v>
      </c>
      <c r="P25" s="12" t="s">
        <v>1896</v>
      </c>
      <c r="Q25" s="12" t="s">
        <v>1944</v>
      </c>
      <c r="R25" s="12" t="s">
        <v>1932</v>
      </c>
      <c r="S25" s="12" t="s">
        <v>1897</v>
      </c>
      <c r="T25" s="12"/>
      <c r="U25" s="12"/>
    </row>
    <row r="26" spans="1:21" ht="91" x14ac:dyDescent="0.35">
      <c r="A26" s="10" t="s">
        <v>172</v>
      </c>
      <c r="B26" s="10" t="s">
        <v>60</v>
      </c>
      <c r="C26" s="10" t="s">
        <v>61</v>
      </c>
      <c r="D26" s="10" t="s">
        <v>164</v>
      </c>
      <c r="E26" s="10" t="s">
        <v>165</v>
      </c>
      <c r="F26" s="10" t="s">
        <v>173</v>
      </c>
      <c r="G26" s="10" t="s">
        <v>174</v>
      </c>
      <c r="H26" s="10" t="s">
        <v>168</v>
      </c>
      <c r="I26" s="10" t="s">
        <v>67</v>
      </c>
      <c r="J26" s="10"/>
      <c r="K26" s="10" t="s">
        <v>68</v>
      </c>
      <c r="L26" s="10" t="s">
        <v>175</v>
      </c>
      <c r="M26" s="10" t="s">
        <v>170</v>
      </c>
      <c r="N26" s="10" t="s">
        <v>176</v>
      </c>
      <c r="O26" s="12" t="s">
        <v>32</v>
      </c>
      <c r="P26" s="12" t="s">
        <v>1896</v>
      </c>
      <c r="Q26" s="12" t="s">
        <v>1945</v>
      </c>
      <c r="R26" s="12" t="s">
        <v>1923</v>
      </c>
      <c r="S26" s="12" t="s">
        <v>1897</v>
      </c>
      <c r="T26" s="12"/>
      <c r="U26" s="12"/>
    </row>
    <row r="27" spans="1:21" ht="91" x14ac:dyDescent="0.35">
      <c r="A27" s="10" t="s">
        <v>177</v>
      </c>
      <c r="B27" s="10" t="s">
        <v>60</v>
      </c>
      <c r="C27" s="10" t="s">
        <v>61</v>
      </c>
      <c r="D27" s="10" t="s">
        <v>164</v>
      </c>
      <c r="E27" s="10" t="s">
        <v>165</v>
      </c>
      <c r="F27" s="10" t="s">
        <v>178</v>
      </c>
      <c r="G27" s="10" t="s">
        <v>179</v>
      </c>
      <c r="H27" s="10" t="s">
        <v>168</v>
      </c>
      <c r="I27" s="10" t="s">
        <v>67</v>
      </c>
      <c r="J27" s="10"/>
      <c r="K27" s="10" t="s">
        <v>68</v>
      </c>
      <c r="L27" s="10" t="s">
        <v>180</v>
      </c>
      <c r="M27" s="10" t="s">
        <v>170</v>
      </c>
      <c r="N27" s="10" t="s">
        <v>181</v>
      </c>
      <c r="O27" s="12" t="s">
        <v>32</v>
      </c>
      <c r="P27" s="12" t="s">
        <v>1896</v>
      </c>
      <c r="Q27" s="12" t="s">
        <v>1946</v>
      </c>
      <c r="R27" s="12" t="s">
        <v>1947</v>
      </c>
      <c r="S27" s="12" t="s">
        <v>1935</v>
      </c>
      <c r="T27" s="12"/>
      <c r="U27" s="12"/>
    </row>
    <row r="28" spans="1:21" ht="91" x14ac:dyDescent="0.35">
      <c r="A28" s="10" t="s">
        <v>182</v>
      </c>
      <c r="B28" s="10" t="s">
        <v>60</v>
      </c>
      <c r="C28" s="10" t="s">
        <v>61</v>
      </c>
      <c r="D28" s="10" t="s">
        <v>164</v>
      </c>
      <c r="E28" s="10" t="s">
        <v>165</v>
      </c>
      <c r="F28" s="10" t="s">
        <v>183</v>
      </c>
      <c r="G28" s="10" t="s">
        <v>184</v>
      </c>
      <c r="H28" s="10" t="s">
        <v>168</v>
      </c>
      <c r="I28" s="10" t="s">
        <v>67</v>
      </c>
      <c r="J28" s="10"/>
      <c r="K28" s="10" t="s">
        <v>68</v>
      </c>
      <c r="L28" s="10" t="s">
        <v>185</v>
      </c>
      <c r="M28" s="10" t="s">
        <v>170</v>
      </c>
      <c r="N28" s="10" t="s">
        <v>186</v>
      </c>
      <c r="O28" s="12" t="s">
        <v>32</v>
      </c>
      <c r="P28" s="12" t="s">
        <v>1896</v>
      </c>
      <c r="Q28" s="12" t="s">
        <v>1948</v>
      </c>
      <c r="R28" s="12" t="s">
        <v>1923</v>
      </c>
      <c r="S28" s="12" t="s">
        <v>1897</v>
      </c>
      <c r="T28" s="12"/>
      <c r="U28" s="12"/>
    </row>
    <row r="29" spans="1:21" ht="104" x14ac:dyDescent="0.35">
      <c r="A29" s="10" t="s">
        <v>187</v>
      </c>
      <c r="B29" s="10" t="s">
        <v>60</v>
      </c>
      <c r="C29" s="10" t="s">
        <v>61</v>
      </c>
      <c r="D29" s="10" t="s">
        <v>164</v>
      </c>
      <c r="E29" s="10" t="s">
        <v>165</v>
      </c>
      <c r="F29" s="10" t="s">
        <v>188</v>
      </c>
      <c r="G29" s="10" t="s">
        <v>189</v>
      </c>
      <c r="H29" s="10" t="s">
        <v>168</v>
      </c>
      <c r="I29" s="10" t="s">
        <v>67</v>
      </c>
      <c r="J29" s="10"/>
      <c r="K29" s="10" t="s">
        <v>68</v>
      </c>
      <c r="L29" s="10" t="s">
        <v>190</v>
      </c>
      <c r="M29" s="10" t="s">
        <v>170</v>
      </c>
      <c r="N29" s="10" t="s">
        <v>191</v>
      </c>
      <c r="O29" s="12" t="s">
        <v>32</v>
      </c>
      <c r="P29" s="12" t="s">
        <v>1896</v>
      </c>
      <c r="Q29" s="12" t="s">
        <v>1949</v>
      </c>
      <c r="R29" s="12" t="s">
        <v>1932</v>
      </c>
      <c r="S29" s="12" t="s">
        <v>1897</v>
      </c>
      <c r="T29" s="12"/>
      <c r="U29" s="12"/>
    </row>
    <row r="30" spans="1:21" ht="91" x14ac:dyDescent="0.35">
      <c r="A30" s="10" t="s">
        <v>192</v>
      </c>
      <c r="B30" s="10" t="s">
        <v>60</v>
      </c>
      <c r="C30" s="10" t="s">
        <v>61</v>
      </c>
      <c r="D30" s="10" t="s">
        <v>193</v>
      </c>
      <c r="E30" s="10" t="s">
        <v>194</v>
      </c>
      <c r="F30" s="10" t="s">
        <v>195</v>
      </c>
      <c r="G30" s="10" t="s">
        <v>196</v>
      </c>
      <c r="H30" s="10" t="s">
        <v>197</v>
      </c>
      <c r="I30" s="10" t="s">
        <v>67</v>
      </c>
      <c r="J30" s="10"/>
      <c r="K30" s="10" t="s">
        <v>113</v>
      </c>
      <c r="L30" s="10" t="s">
        <v>198</v>
      </c>
      <c r="M30" s="10" t="s">
        <v>199</v>
      </c>
      <c r="N30" s="10" t="s">
        <v>200</v>
      </c>
      <c r="O30" s="12" t="s">
        <v>32</v>
      </c>
      <c r="P30" s="12" t="s">
        <v>1896</v>
      </c>
      <c r="Q30" s="12" t="s">
        <v>1950</v>
      </c>
      <c r="R30" s="12" t="s">
        <v>1923</v>
      </c>
      <c r="S30" s="12" t="s">
        <v>1897</v>
      </c>
      <c r="T30" s="12"/>
      <c r="U30" s="12"/>
    </row>
    <row r="31" spans="1:21" ht="91" x14ac:dyDescent="0.35">
      <c r="A31" s="10" t="s">
        <v>201</v>
      </c>
      <c r="B31" s="10" t="s">
        <v>60</v>
      </c>
      <c r="C31" s="10" t="s">
        <v>61</v>
      </c>
      <c r="D31" s="10" t="s">
        <v>193</v>
      </c>
      <c r="E31" s="10" t="s">
        <v>194</v>
      </c>
      <c r="F31" s="10" t="s">
        <v>202</v>
      </c>
      <c r="G31" s="10" t="s">
        <v>203</v>
      </c>
      <c r="H31" s="10" t="s">
        <v>197</v>
      </c>
      <c r="I31" s="10" t="s">
        <v>67</v>
      </c>
      <c r="J31" s="10"/>
      <c r="K31" s="10" t="s">
        <v>68</v>
      </c>
      <c r="L31" s="10" t="s">
        <v>204</v>
      </c>
      <c r="M31" s="10" t="s">
        <v>199</v>
      </c>
      <c r="N31" s="10" t="s">
        <v>205</v>
      </c>
      <c r="O31" s="12" t="s">
        <v>32</v>
      </c>
      <c r="P31" s="12" t="s">
        <v>1896</v>
      </c>
      <c r="Q31" s="12" t="s">
        <v>1951</v>
      </c>
      <c r="R31" s="12" t="s">
        <v>1923</v>
      </c>
      <c r="S31" s="12" t="s">
        <v>1897</v>
      </c>
      <c r="T31" s="12"/>
      <c r="U31" s="12"/>
    </row>
    <row r="32" spans="1:21" ht="91" x14ac:dyDescent="0.35">
      <c r="A32" s="10" t="s">
        <v>206</v>
      </c>
      <c r="B32" s="10" t="s">
        <v>60</v>
      </c>
      <c r="C32" s="10" t="s">
        <v>61</v>
      </c>
      <c r="D32" s="10" t="s">
        <v>193</v>
      </c>
      <c r="E32" s="10" t="s">
        <v>194</v>
      </c>
      <c r="F32" s="10" t="s">
        <v>207</v>
      </c>
      <c r="G32" s="10" t="s">
        <v>208</v>
      </c>
      <c r="H32" s="10" t="s">
        <v>197</v>
      </c>
      <c r="I32" s="10" t="s">
        <v>67</v>
      </c>
      <c r="J32" s="10"/>
      <c r="K32" s="10" t="s">
        <v>113</v>
      </c>
      <c r="L32" s="10" t="s">
        <v>209</v>
      </c>
      <c r="M32" s="10" t="s">
        <v>199</v>
      </c>
      <c r="N32" s="10" t="s">
        <v>210</v>
      </c>
      <c r="O32" s="12" t="s">
        <v>32</v>
      </c>
      <c r="P32" s="12" t="s">
        <v>1896</v>
      </c>
      <c r="Q32" s="12" t="s">
        <v>1952</v>
      </c>
      <c r="R32" s="12" t="s">
        <v>1923</v>
      </c>
      <c r="S32" s="12" t="s">
        <v>1897</v>
      </c>
      <c r="T32" s="12"/>
      <c r="U32" s="12"/>
    </row>
    <row r="33" spans="1:21" ht="91" x14ac:dyDescent="0.35">
      <c r="A33" s="10" t="s">
        <v>211</v>
      </c>
      <c r="B33" s="10" t="s">
        <v>60</v>
      </c>
      <c r="C33" s="10" t="s">
        <v>61</v>
      </c>
      <c r="D33" s="10" t="s">
        <v>193</v>
      </c>
      <c r="E33" s="10" t="s">
        <v>194</v>
      </c>
      <c r="F33" s="10" t="s">
        <v>212</v>
      </c>
      <c r="G33" s="10" t="s">
        <v>213</v>
      </c>
      <c r="H33" s="10" t="s">
        <v>197</v>
      </c>
      <c r="I33" s="10" t="s">
        <v>67</v>
      </c>
      <c r="J33" s="10"/>
      <c r="K33" s="10" t="s">
        <v>68</v>
      </c>
      <c r="L33" s="10" t="s">
        <v>214</v>
      </c>
      <c r="M33" s="10" t="s">
        <v>199</v>
      </c>
      <c r="N33" s="10" t="s">
        <v>215</v>
      </c>
      <c r="O33" s="12" t="s">
        <v>32</v>
      </c>
      <c r="P33" s="12" t="s">
        <v>1896</v>
      </c>
      <c r="Q33" s="12" t="s">
        <v>1953</v>
      </c>
      <c r="R33" s="12" t="s">
        <v>1923</v>
      </c>
      <c r="S33" s="12" t="s">
        <v>1897</v>
      </c>
      <c r="T33" s="12"/>
      <c r="U33" s="12"/>
    </row>
    <row r="34" spans="1:21" ht="91" x14ac:dyDescent="0.35">
      <c r="A34" s="10" t="s">
        <v>216</v>
      </c>
      <c r="B34" s="10" t="s">
        <v>60</v>
      </c>
      <c r="C34" s="10" t="s">
        <v>61</v>
      </c>
      <c r="D34" s="10" t="s">
        <v>193</v>
      </c>
      <c r="E34" s="10" t="s">
        <v>194</v>
      </c>
      <c r="F34" s="10" t="s">
        <v>217</v>
      </c>
      <c r="G34" s="10" t="s">
        <v>218</v>
      </c>
      <c r="H34" s="10" t="s">
        <v>197</v>
      </c>
      <c r="I34" s="10" t="s">
        <v>67</v>
      </c>
      <c r="J34" s="10"/>
      <c r="K34" s="10" t="s">
        <v>68</v>
      </c>
      <c r="L34" s="10" t="s">
        <v>219</v>
      </c>
      <c r="M34" s="10" t="s">
        <v>199</v>
      </c>
      <c r="N34" s="10" t="s">
        <v>220</v>
      </c>
      <c r="O34" s="12" t="s">
        <v>32</v>
      </c>
      <c r="P34" s="12" t="s">
        <v>1896</v>
      </c>
      <c r="Q34" s="12" t="s">
        <v>1954</v>
      </c>
      <c r="R34" s="12" t="s">
        <v>1923</v>
      </c>
      <c r="S34" s="12" t="s">
        <v>1897</v>
      </c>
      <c r="T34" s="12"/>
      <c r="U34" s="12"/>
    </row>
    <row r="35" spans="1:21" ht="91" x14ac:dyDescent="0.35">
      <c r="A35" s="10" t="s">
        <v>221</v>
      </c>
      <c r="B35" s="10" t="s">
        <v>60</v>
      </c>
      <c r="C35" s="10" t="s">
        <v>61</v>
      </c>
      <c r="D35" s="10" t="s">
        <v>193</v>
      </c>
      <c r="E35" s="10" t="s">
        <v>194</v>
      </c>
      <c r="F35" s="10" t="s">
        <v>222</v>
      </c>
      <c r="G35" s="10" t="s">
        <v>223</v>
      </c>
      <c r="H35" s="10" t="s">
        <v>224</v>
      </c>
      <c r="I35" s="10" t="s">
        <v>67</v>
      </c>
      <c r="J35" s="10"/>
      <c r="K35" s="10" t="s">
        <v>68</v>
      </c>
      <c r="L35" s="10" t="s">
        <v>225</v>
      </c>
      <c r="M35" s="10" t="s">
        <v>199</v>
      </c>
      <c r="N35" s="10" t="s">
        <v>226</v>
      </c>
      <c r="O35" s="12" t="s">
        <v>32</v>
      </c>
      <c r="P35" s="12" t="s">
        <v>1896</v>
      </c>
      <c r="Q35" s="12" t="s">
        <v>1955</v>
      </c>
      <c r="R35" s="12" t="s">
        <v>1923</v>
      </c>
      <c r="S35" s="12" t="s">
        <v>1897</v>
      </c>
      <c r="T35" s="12"/>
      <c r="U35" s="12"/>
    </row>
    <row r="36" spans="1:21" ht="91" x14ac:dyDescent="0.35">
      <c r="A36" s="10" t="s">
        <v>227</v>
      </c>
      <c r="B36" s="10" t="s">
        <v>60</v>
      </c>
      <c r="C36" s="10" t="s">
        <v>61</v>
      </c>
      <c r="D36" s="10" t="s">
        <v>193</v>
      </c>
      <c r="E36" s="10" t="s">
        <v>194</v>
      </c>
      <c r="F36" s="10" t="s">
        <v>228</v>
      </c>
      <c r="G36" s="10" t="s">
        <v>229</v>
      </c>
      <c r="H36" s="10" t="s">
        <v>224</v>
      </c>
      <c r="I36" s="10" t="s">
        <v>67</v>
      </c>
      <c r="J36" s="10"/>
      <c r="K36" s="10" t="s">
        <v>68</v>
      </c>
      <c r="L36" s="10" t="s">
        <v>230</v>
      </c>
      <c r="M36" s="10" t="s">
        <v>199</v>
      </c>
      <c r="N36" s="10" t="s">
        <v>231</v>
      </c>
      <c r="O36" s="12" t="s">
        <v>31</v>
      </c>
      <c r="P36" s="12" t="s">
        <v>1898</v>
      </c>
      <c r="Q36" s="12" t="s">
        <v>1956</v>
      </c>
      <c r="R36" s="12" t="s">
        <v>1957</v>
      </c>
      <c r="S36" s="12" t="s">
        <v>1899</v>
      </c>
      <c r="T36" s="12"/>
      <c r="U36" s="12"/>
    </row>
    <row r="37" spans="1:21" ht="91" x14ac:dyDescent="0.35">
      <c r="A37" s="10" t="s">
        <v>232</v>
      </c>
      <c r="B37" s="10" t="s">
        <v>60</v>
      </c>
      <c r="C37" s="10" t="s">
        <v>61</v>
      </c>
      <c r="D37" s="10" t="s">
        <v>233</v>
      </c>
      <c r="E37" s="10" t="s">
        <v>234</v>
      </c>
      <c r="F37" s="10" t="s">
        <v>235</v>
      </c>
      <c r="G37" s="10" t="s">
        <v>236</v>
      </c>
      <c r="H37" s="10" t="s">
        <v>237</v>
      </c>
      <c r="I37" s="10" t="s">
        <v>67</v>
      </c>
      <c r="J37" s="10"/>
      <c r="K37" s="10" t="s">
        <v>68</v>
      </c>
      <c r="L37" s="10" t="s">
        <v>238</v>
      </c>
      <c r="M37" s="10" t="s">
        <v>239</v>
      </c>
      <c r="N37" s="10" t="s">
        <v>240</v>
      </c>
      <c r="O37" s="12" t="s">
        <v>32</v>
      </c>
      <c r="P37" s="12" t="s">
        <v>1896</v>
      </c>
      <c r="Q37" s="12" t="s">
        <v>1958</v>
      </c>
      <c r="R37" s="12" t="s">
        <v>1923</v>
      </c>
      <c r="S37" s="12" t="s">
        <v>1897</v>
      </c>
      <c r="T37" s="12"/>
      <c r="U37" s="12"/>
    </row>
    <row r="38" spans="1:21" ht="91" x14ac:dyDescent="0.35">
      <c r="A38" s="10" t="s">
        <v>241</v>
      </c>
      <c r="B38" s="10" t="s">
        <v>60</v>
      </c>
      <c r="C38" s="10" t="s">
        <v>61</v>
      </c>
      <c r="D38" s="10" t="s">
        <v>233</v>
      </c>
      <c r="E38" s="10" t="s">
        <v>234</v>
      </c>
      <c r="F38" s="10" t="s">
        <v>242</v>
      </c>
      <c r="G38" s="10" t="s">
        <v>243</v>
      </c>
      <c r="H38" s="10" t="s">
        <v>237</v>
      </c>
      <c r="I38" s="10" t="s">
        <v>67</v>
      </c>
      <c r="J38" s="10"/>
      <c r="K38" s="10" t="s">
        <v>68</v>
      </c>
      <c r="L38" s="10" t="s">
        <v>244</v>
      </c>
      <c r="M38" s="10" t="s">
        <v>239</v>
      </c>
      <c r="N38" s="10" t="s">
        <v>245</v>
      </c>
      <c r="O38" s="12" t="s">
        <v>32</v>
      </c>
      <c r="P38" s="12" t="s">
        <v>1896</v>
      </c>
      <c r="Q38" s="12" t="s">
        <v>1959</v>
      </c>
      <c r="R38" s="12" t="s">
        <v>1923</v>
      </c>
      <c r="S38" s="12" t="s">
        <v>1897</v>
      </c>
      <c r="T38" s="12"/>
      <c r="U38" s="12"/>
    </row>
    <row r="39" spans="1:21" ht="91" x14ac:dyDescent="0.35">
      <c r="A39" s="10" t="s">
        <v>246</v>
      </c>
      <c r="B39" s="10" t="s">
        <v>60</v>
      </c>
      <c r="C39" s="10" t="s">
        <v>61</v>
      </c>
      <c r="D39" s="10" t="s">
        <v>233</v>
      </c>
      <c r="E39" s="10" t="s">
        <v>234</v>
      </c>
      <c r="F39" s="10" t="s">
        <v>247</v>
      </c>
      <c r="G39" s="10" t="s">
        <v>248</v>
      </c>
      <c r="H39" s="10" t="s">
        <v>237</v>
      </c>
      <c r="I39" s="10" t="s">
        <v>67</v>
      </c>
      <c r="J39" s="10"/>
      <c r="K39" s="10" t="s">
        <v>68</v>
      </c>
      <c r="L39" s="10" t="s">
        <v>249</v>
      </c>
      <c r="M39" s="10" t="s">
        <v>239</v>
      </c>
      <c r="N39" s="10" t="s">
        <v>250</v>
      </c>
      <c r="O39" s="12" t="s">
        <v>32</v>
      </c>
      <c r="P39" s="12" t="s">
        <v>1896</v>
      </c>
      <c r="Q39" s="12" t="s">
        <v>1960</v>
      </c>
      <c r="R39" s="12" t="s">
        <v>1923</v>
      </c>
      <c r="S39" s="12" t="s">
        <v>1897</v>
      </c>
      <c r="T39" s="12"/>
      <c r="U39" s="12"/>
    </row>
    <row r="40" spans="1:21" ht="91" x14ac:dyDescent="0.35">
      <c r="A40" s="10" t="s">
        <v>251</v>
      </c>
      <c r="B40" s="10" t="s">
        <v>60</v>
      </c>
      <c r="C40" s="10" t="s">
        <v>61</v>
      </c>
      <c r="D40" s="10" t="s">
        <v>233</v>
      </c>
      <c r="E40" s="10" t="s">
        <v>234</v>
      </c>
      <c r="F40" s="10" t="s">
        <v>252</v>
      </c>
      <c r="G40" s="10" t="s">
        <v>253</v>
      </c>
      <c r="H40" s="10" t="s">
        <v>237</v>
      </c>
      <c r="I40" s="10" t="s">
        <v>67</v>
      </c>
      <c r="J40" s="10"/>
      <c r="K40" s="10" t="s">
        <v>254</v>
      </c>
      <c r="L40" s="10" t="s">
        <v>255</v>
      </c>
      <c r="M40" s="10" t="s">
        <v>239</v>
      </c>
      <c r="N40" s="10" t="s">
        <v>256</v>
      </c>
      <c r="O40" s="12" t="s">
        <v>31</v>
      </c>
      <c r="P40" s="12" t="s">
        <v>1898</v>
      </c>
      <c r="Q40" s="12" t="s">
        <v>1961</v>
      </c>
      <c r="R40" s="12" t="s">
        <v>1962</v>
      </c>
      <c r="S40" s="12" t="s">
        <v>1899</v>
      </c>
      <c r="T40" s="12"/>
      <c r="U40" s="12"/>
    </row>
    <row r="41" spans="1:21" ht="91" x14ac:dyDescent="0.35">
      <c r="A41" s="10" t="s">
        <v>257</v>
      </c>
      <c r="B41" s="10" t="s">
        <v>60</v>
      </c>
      <c r="C41" s="10" t="s">
        <v>61</v>
      </c>
      <c r="D41" s="10" t="s">
        <v>233</v>
      </c>
      <c r="E41" s="10" t="s">
        <v>234</v>
      </c>
      <c r="F41" s="10" t="s">
        <v>258</v>
      </c>
      <c r="G41" s="10" t="s">
        <v>259</v>
      </c>
      <c r="H41" s="10" t="s">
        <v>237</v>
      </c>
      <c r="I41" s="10" t="s">
        <v>67</v>
      </c>
      <c r="J41" s="10"/>
      <c r="K41" s="10" t="s">
        <v>254</v>
      </c>
      <c r="L41" s="10" t="s">
        <v>255</v>
      </c>
      <c r="M41" s="10" t="s">
        <v>239</v>
      </c>
      <c r="N41" s="10" t="s">
        <v>260</v>
      </c>
      <c r="O41" s="12" t="s">
        <v>31</v>
      </c>
      <c r="P41" s="12" t="s">
        <v>1898</v>
      </c>
      <c r="Q41" s="12" t="s">
        <v>1963</v>
      </c>
      <c r="R41" s="12" t="s">
        <v>1964</v>
      </c>
      <c r="S41" s="12" t="s">
        <v>1897</v>
      </c>
      <c r="T41" s="12"/>
      <c r="U41" s="12"/>
    </row>
    <row r="42" spans="1:21" ht="91" x14ac:dyDescent="0.35">
      <c r="A42" s="10" t="s">
        <v>261</v>
      </c>
      <c r="B42" s="10" t="s">
        <v>60</v>
      </c>
      <c r="C42" s="10" t="s">
        <v>61</v>
      </c>
      <c r="D42" s="10" t="s">
        <v>233</v>
      </c>
      <c r="E42" s="10" t="s">
        <v>234</v>
      </c>
      <c r="F42" s="10" t="s">
        <v>262</v>
      </c>
      <c r="G42" s="10" t="s">
        <v>263</v>
      </c>
      <c r="H42" s="10" t="s">
        <v>237</v>
      </c>
      <c r="I42" s="10" t="s">
        <v>67</v>
      </c>
      <c r="J42" s="10"/>
      <c r="K42" s="10" t="s">
        <v>68</v>
      </c>
      <c r="L42" s="10" t="s">
        <v>264</v>
      </c>
      <c r="M42" s="10" t="s">
        <v>239</v>
      </c>
      <c r="N42" s="10" t="s">
        <v>265</v>
      </c>
      <c r="O42" s="12" t="s">
        <v>32</v>
      </c>
      <c r="P42" s="12" t="s">
        <v>1896</v>
      </c>
      <c r="Q42" s="12" t="s">
        <v>1965</v>
      </c>
      <c r="R42" s="12" t="s">
        <v>1923</v>
      </c>
      <c r="S42" s="12" t="s">
        <v>1897</v>
      </c>
      <c r="T42" s="12"/>
      <c r="U42" s="12"/>
    </row>
    <row r="43" spans="1:21" ht="91" x14ac:dyDescent="0.35">
      <c r="A43" s="10" t="s">
        <v>266</v>
      </c>
      <c r="B43" s="10" t="s">
        <v>60</v>
      </c>
      <c r="C43" s="10" t="s">
        <v>61</v>
      </c>
      <c r="D43" s="10" t="s">
        <v>233</v>
      </c>
      <c r="E43" s="10" t="s">
        <v>234</v>
      </c>
      <c r="F43" s="10" t="s">
        <v>267</v>
      </c>
      <c r="G43" s="10" t="s">
        <v>268</v>
      </c>
      <c r="H43" s="10" t="s">
        <v>237</v>
      </c>
      <c r="I43" s="10" t="s">
        <v>67</v>
      </c>
      <c r="J43" s="10"/>
      <c r="K43" s="10" t="s">
        <v>68</v>
      </c>
      <c r="L43" s="10" t="s">
        <v>269</v>
      </c>
      <c r="M43" s="10" t="s">
        <v>239</v>
      </c>
      <c r="N43" s="10" t="s">
        <v>270</v>
      </c>
      <c r="O43" s="12" t="s">
        <v>32</v>
      </c>
      <c r="P43" s="12" t="s">
        <v>1896</v>
      </c>
      <c r="Q43" s="12" t="s">
        <v>1966</v>
      </c>
      <c r="R43" s="12" t="s">
        <v>1923</v>
      </c>
      <c r="S43" s="12" t="s">
        <v>1897</v>
      </c>
      <c r="T43" s="12"/>
      <c r="U43" s="12"/>
    </row>
    <row r="44" spans="1:21" ht="91" x14ac:dyDescent="0.35">
      <c r="A44" s="10" t="s">
        <v>271</v>
      </c>
      <c r="B44" s="10" t="s">
        <v>60</v>
      </c>
      <c r="C44" s="10" t="s">
        <v>61</v>
      </c>
      <c r="D44" s="10" t="s">
        <v>233</v>
      </c>
      <c r="E44" s="10" t="s">
        <v>234</v>
      </c>
      <c r="F44" s="10" t="s">
        <v>272</v>
      </c>
      <c r="G44" s="10" t="s">
        <v>273</v>
      </c>
      <c r="H44" s="10" t="s">
        <v>237</v>
      </c>
      <c r="I44" s="10" t="s">
        <v>67</v>
      </c>
      <c r="J44" s="10"/>
      <c r="K44" s="10" t="s">
        <v>68</v>
      </c>
      <c r="L44" s="10" t="s">
        <v>274</v>
      </c>
      <c r="M44" s="10" t="s">
        <v>239</v>
      </c>
      <c r="N44" s="10" t="s">
        <v>275</v>
      </c>
      <c r="O44" s="12" t="s">
        <v>32</v>
      </c>
      <c r="P44" s="12" t="s">
        <v>1896</v>
      </c>
      <c r="Q44" s="12" t="s">
        <v>1967</v>
      </c>
      <c r="R44" s="12" t="s">
        <v>1923</v>
      </c>
      <c r="S44" s="12" t="s">
        <v>1897</v>
      </c>
      <c r="T44" s="12"/>
      <c r="U44" s="12"/>
    </row>
    <row r="45" spans="1:21" ht="91" x14ac:dyDescent="0.35">
      <c r="A45" s="10" t="s">
        <v>276</v>
      </c>
      <c r="B45" s="10" t="s">
        <v>60</v>
      </c>
      <c r="C45" s="10" t="s">
        <v>61</v>
      </c>
      <c r="D45" s="10" t="s">
        <v>277</v>
      </c>
      <c r="E45" s="10" t="s">
        <v>278</v>
      </c>
      <c r="F45" s="10" t="s">
        <v>279</v>
      </c>
      <c r="G45" s="10" t="s">
        <v>280</v>
      </c>
      <c r="H45" s="10" t="s">
        <v>281</v>
      </c>
      <c r="I45" s="10" t="s">
        <v>67</v>
      </c>
      <c r="J45" s="10"/>
      <c r="K45" s="10" t="s">
        <v>68</v>
      </c>
      <c r="L45" s="10" t="s">
        <v>282</v>
      </c>
      <c r="M45" s="10" t="s">
        <v>283</v>
      </c>
      <c r="N45" s="10" t="s">
        <v>284</v>
      </c>
      <c r="O45" s="12" t="s">
        <v>32</v>
      </c>
      <c r="P45" s="12" t="s">
        <v>1896</v>
      </c>
      <c r="Q45" s="12" t="s">
        <v>1968</v>
      </c>
      <c r="R45" s="12" t="s">
        <v>1923</v>
      </c>
      <c r="S45" s="12" t="s">
        <v>1897</v>
      </c>
      <c r="T45" s="12"/>
      <c r="U45" s="12"/>
    </row>
    <row r="46" spans="1:21" ht="91" x14ac:dyDescent="0.35">
      <c r="A46" s="10" t="s">
        <v>285</v>
      </c>
      <c r="B46" s="10" t="s">
        <v>60</v>
      </c>
      <c r="C46" s="10" t="s">
        <v>61</v>
      </c>
      <c r="D46" s="10" t="s">
        <v>277</v>
      </c>
      <c r="E46" s="10" t="s">
        <v>278</v>
      </c>
      <c r="F46" s="10" t="s">
        <v>286</v>
      </c>
      <c r="G46" s="10" t="s">
        <v>287</v>
      </c>
      <c r="H46" s="10" t="s">
        <v>281</v>
      </c>
      <c r="I46" s="10" t="s">
        <v>67</v>
      </c>
      <c r="J46" s="10"/>
      <c r="K46" s="10" t="s">
        <v>113</v>
      </c>
      <c r="L46" s="10" t="s">
        <v>288</v>
      </c>
      <c r="M46" s="10" t="s">
        <v>283</v>
      </c>
      <c r="N46" s="10" t="s">
        <v>289</v>
      </c>
      <c r="O46" s="12" t="s">
        <v>32</v>
      </c>
      <c r="P46" s="12" t="s">
        <v>1896</v>
      </c>
      <c r="Q46" s="12" t="s">
        <v>1969</v>
      </c>
      <c r="R46" s="12" t="s">
        <v>1923</v>
      </c>
      <c r="S46" s="12" t="s">
        <v>1897</v>
      </c>
      <c r="T46" s="12"/>
      <c r="U46" s="12"/>
    </row>
    <row r="47" spans="1:21" ht="91" x14ac:dyDescent="0.35">
      <c r="A47" s="10" t="s">
        <v>290</v>
      </c>
      <c r="B47" s="10" t="s">
        <v>60</v>
      </c>
      <c r="C47" s="10" t="s">
        <v>61</v>
      </c>
      <c r="D47" s="10" t="s">
        <v>277</v>
      </c>
      <c r="E47" s="10" t="s">
        <v>278</v>
      </c>
      <c r="F47" s="10" t="s">
        <v>291</v>
      </c>
      <c r="G47" s="10" t="s">
        <v>292</v>
      </c>
      <c r="H47" s="10" t="s">
        <v>281</v>
      </c>
      <c r="I47" s="10" t="s">
        <v>67</v>
      </c>
      <c r="J47" s="10"/>
      <c r="K47" s="10" t="s">
        <v>113</v>
      </c>
      <c r="L47" s="10" t="s">
        <v>293</v>
      </c>
      <c r="M47" s="10" t="s">
        <v>283</v>
      </c>
      <c r="N47" s="10" t="s">
        <v>294</v>
      </c>
      <c r="O47" s="12" t="s">
        <v>32</v>
      </c>
      <c r="P47" s="12" t="s">
        <v>1896</v>
      </c>
      <c r="Q47" s="12" t="s">
        <v>1970</v>
      </c>
      <c r="R47" s="12" t="s">
        <v>1923</v>
      </c>
      <c r="S47" s="12" t="s">
        <v>1897</v>
      </c>
      <c r="T47" s="12"/>
      <c r="U47" s="12"/>
    </row>
    <row r="48" spans="1:21" ht="91" x14ac:dyDescent="0.35">
      <c r="A48" s="10" t="s">
        <v>295</v>
      </c>
      <c r="B48" s="10" t="s">
        <v>60</v>
      </c>
      <c r="C48" s="10" t="s">
        <v>61</v>
      </c>
      <c r="D48" s="10" t="s">
        <v>277</v>
      </c>
      <c r="E48" s="10" t="s">
        <v>278</v>
      </c>
      <c r="F48" s="10" t="s">
        <v>296</v>
      </c>
      <c r="G48" s="10" t="s">
        <v>297</v>
      </c>
      <c r="H48" s="10" t="s">
        <v>281</v>
      </c>
      <c r="I48" s="10" t="s">
        <v>67</v>
      </c>
      <c r="J48" s="10"/>
      <c r="K48" s="10" t="s">
        <v>113</v>
      </c>
      <c r="L48" s="10" t="s">
        <v>298</v>
      </c>
      <c r="M48" s="10" t="s">
        <v>283</v>
      </c>
      <c r="N48" s="10" t="s">
        <v>299</v>
      </c>
      <c r="O48" s="12" t="s">
        <v>32</v>
      </c>
      <c r="P48" s="12" t="s">
        <v>1896</v>
      </c>
      <c r="Q48" s="12" t="s">
        <v>1971</v>
      </c>
      <c r="R48" s="12" t="s">
        <v>1923</v>
      </c>
      <c r="S48" s="12" t="s">
        <v>1897</v>
      </c>
      <c r="T48" s="12"/>
      <c r="U48" s="12"/>
    </row>
    <row r="49" spans="1:21" ht="91" x14ac:dyDescent="0.35">
      <c r="A49" s="10" t="s">
        <v>300</v>
      </c>
      <c r="B49" s="10" t="s">
        <v>60</v>
      </c>
      <c r="C49" s="10" t="s">
        <v>61</v>
      </c>
      <c r="D49" s="10" t="s">
        <v>277</v>
      </c>
      <c r="E49" s="10" t="s">
        <v>278</v>
      </c>
      <c r="F49" s="10" t="s">
        <v>301</v>
      </c>
      <c r="G49" s="10" t="s">
        <v>302</v>
      </c>
      <c r="H49" s="10" t="s">
        <v>281</v>
      </c>
      <c r="I49" s="10" t="s">
        <v>67</v>
      </c>
      <c r="J49" s="10"/>
      <c r="K49" s="10" t="s">
        <v>68</v>
      </c>
      <c r="L49" s="10" t="s">
        <v>303</v>
      </c>
      <c r="M49" s="10" t="s">
        <v>283</v>
      </c>
      <c r="N49" s="10" t="s">
        <v>304</v>
      </c>
      <c r="O49" s="12" t="s">
        <v>32</v>
      </c>
      <c r="P49" s="12" t="s">
        <v>1896</v>
      </c>
      <c r="Q49" s="12" t="s">
        <v>1972</v>
      </c>
      <c r="R49" s="12" t="s">
        <v>1923</v>
      </c>
      <c r="S49" s="12" t="s">
        <v>1897</v>
      </c>
      <c r="T49" s="12"/>
      <c r="U49" s="12"/>
    </row>
    <row r="50" spans="1:21" ht="91" x14ac:dyDescent="0.35">
      <c r="A50" s="10" t="s">
        <v>305</v>
      </c>
      <c r="B50" s="10" t="s">
        <v>60</v>
      </c>
      <c r="C50" s="10" t="s">
        <v>61</v>
      </c>
      <c r="D50" s="10" t="s">
        <v>277</v>
      </c>
      <c r="E50" s="10" t="s">
        <v>278</v>
      </c>
      <c r="F50" s="10" t="s">
        <v>306</v>
      </c>
      <c r="G50" s="10" t="s">
        <v>307</v>
      </c>
      <c r="H50" s="10" t="s">
        <v>281</v>
      </c>
      <c r="I50" s="10" t="s">
        <v>67</v>
      </c>
      <c r="J50" s="10"/>
      <c r="K50" s="10" t="s">
        <v>68</v>
      </c>
      <c r="L50" s="10" t="s">
        <v>308</v>
      </c>
      <c r="M50" s="10" t="s">
        <v>283</v>
      </c>
      <c r="N50" s="10" t="s">
        <v>309</v>
      </c>
      <c r="O50" s="12" t="s">
        <v>32</v>
      </c>
      <c r="P50" s="12" t="s">
        <v>1896</v>
      </c>
      <c r="Q50" s="12" t="s">
        <v>1973</v>
      </c>
      <c r="R50" s="12" t="s">
        <v>1923</v>
      </c>
      <c r="S50" s="12" t="s">
        <v>1897</v>
      </c>
      <c r="T50" s="12"/>
      <c r="U50" s="12"/>
    </row>
    <row r="51" spans="1:21" ht="91" x14ac:dyDescent="0.35">
      <c r="A51" s="10" t="s">
        <v>310</v>
      </c>
      <c r="B51" s="10" t="s">
        <v>60</v>
      </c>
      <c r="C51" s="10" t="s">
        <v>61</v>
      </c>
      <c r="D51" s="10" t="s">
        <v>311</v>
      </c>
      <c r="E51" s="10" t="s">
        <v>312</v>
      </c>
      <c r="F51" s="10" t="s">
        <v>313</v>
      </c>
      <c r="G51" s="10" t="s">
        <v>314</v>
      </c>
      <c r="H51" s="10" t="s">
        <v>315</v>
      </c>
      <c r="I51" s="10" t="s">
        <v>67</v>
      </c>
      <c r="J51" s="10"/>
      <c r="K51" s="10" t="s">
        <v>68</v>
      </c>
      <c r="L51" s="10" t="s">
        <v>316</v>
      </c>
      <c r="M51" s="10" t="s">
        <v>317</v>
      </c>
      <c r="N51" s="10" t="s">
        <v>318</v>
      </c>
      <c r="O51" s="12" t="s">
        <v>32</v>
      </c>
      <c r="P51" s="12" t="s">
        <v>1896</v>
      </c>
      <c r="Q51" s="12" t="s">
        <v>1974</v>
      </c>
      <c r="R51" s="12" t="s">
        <v>1923</v>
      </c>
      <c r="S51" s="12" t="s">
        <v>1897</v>
      </c>
      <c r="T51" s="12"/>
      <c r="U51" s="12"/>
    </row>
    <row r="52" spans="1:21" ht="91" x14ac:dyDescent="0.35">
      <c r="A52" s="10" t="s">
        <v>319</v>
      </c>
      <c r="B52" s="10" t="s">
        <v>60</v>
      </c>
      <c r="C52" s="10" t="s">
        <v>61</v>
      </c>
      <c r="D52" s="10" t="s">
        <v>311</v>
      </c>
      <c r="E52" s="10" t="s">
        <v>312</v>
      </c>
      <c r="F52" s="10" t="s">
        <v>320</v>
      </c>
      <c r="G52" s="10" t="s">
        <v>321</v>
      </c>
      <c r="H52" s="10" t="s">
        <v>315</v>
      </c>
      <c r="I52" s="10" t="s">
        <v>67</v>
      </c>
      <c r="J52" s="10"/>
      <c r="K52" s="10" t="s">
        <v>68</v>
      </c>
      <c r="L52" s="10" t="s">
        <v>322</v>
      </c>
      <c r="M52" s="10" t="s">
        <v>317</v>
      </c>
      <c r="N52" s="10" t="s">
        <v>323</v>
      </c>
      <c r="O52" s="12" t="s">
        <v>32</v>
      </c>
      <c r="P52" s="12" t="s">
        <v>1896</v>
      </c>
      <c r="Q52" s="12" t="s">
        <v>1975</v>
      </c>
      <c r="R52" s="12" t="s">
        <v>1923</v>
      </c>
      <c r="S52" s="12" t="s">
        <v>1897</v>
      </c>
      <c r="T52" s="12"/>
      <c r="U52" s="12"/>
    </row>
    <row r="53" spans="1:21" ht="91" x14ac:dyDescent="0.35">
      <c r="A53" s="10" t="s">
        <v>324</v>
      </c>
      <c r="B53" s="10" t="s">
        <v>60</v>
      </c>
      <c r="C53" s="10" t="s">
        <v>61</v>
      </c>
      <c r="D53" s="10" t="s">
        <v>311</v>
      </c>
      <c r="E53" s="10" t="s">
        <v>312</v>
      </c>
      <c r="F53" s="10" t="s">
        <v>325</v>
      </c>
      <c r="G53" s="10" t="s">
        <v>326</v>
      </c>
      <c r="H53" s="10" t="s">
        <v>315</v>
      </c>
      <c r="I53" s="10" t="s">
        <v>67</v>
      </c>
      <c r="J53" s="10"/>
      <c r="K53" s="10" t="s">
        <v>254</v>
      </c>
      <c r="L53" s="10" t="s">
        <v>255</v>
      </c>
      <c r="M53" s="10" t="s">
        <v>317</v>
      </c>
      <c r="N53" s="10" t="s">
        <v>327</v>
      </c>
      <c r="O53" s="12" t="s">
        <v>32</v>
      </c>
      <c r="P53" s="12" t="s">
        <v>1896</v>
      </c>
      <c r="Q53" s="12" t="s">
        <v>1976</v>
      </c>
      <c r="R53" s="12" t="s">
        <v>1977</v>
      </c>
      <c r="S53" s="12" t="s">
        <v>1897</v>
      </c>
      <c r="T53" s="12"/>
      <c r="U53" s="12"/>
    </row>
    <row r="54" spans="1:21" ht="91" x14ac:dyDescent="0.35">
      <c r="A54" s="10" t="s">
        <v>328</v>
      </c>
      <c r="B54" s="10" t="s">
        <v>60</v>
      </c>
      <c r="C54" s="10" t="s">
        <v>61</v>
      </c>
      <c r="D54" s="10" t="s">
        <v>311</v>
      </c>
      <c r="E54" s="10" t="s">
        <v>312</v>
      </c>
      <c r="F54" s="10" t="s">
        <v>329</v>
      </c>
      <c r="G54" s="10" t="s">
        <v>330</v>
      </c>
      <c r="H54" s="10" t="s">
        <v>315</v>
      </c>
      <c r="I54" s="10" t="s">
        <v>67</v>
      </c>
      <c r="J54" s="10"/>
      <c r="K54" s="10" t="s">
        <v>68</v>
      </c>
      <c r="L54" s="10" t="s">
        <v>331</v>
      </c>
      <c r="M54" s="10" t="s">
        <v>317</v>
      </c>
      <c r="N54" s="10" t="s">
        <v>332</v>
      </c>
      <c r="O54" s="12" t="s">
        <v>32</v>
      </c>
      <c r="P54" s="12" t="s">
        <v>1896</v>
      </c>
      <c r="Q54" s="12" t="s">
        <v>1978</v>
      </c>
      <c r="R54" s="12" t="s">
        <v>1923</v>
      </c>
      <c r="S54" s="12" t="s">
        <v>1897</v>
      </c>
      <c r="T54" s="12"/>
      <c r="U54" s="12"/>
    </row>
    <row r="55" spans="1:21" ht="143" x14ac:dyDescent="0.35">
      <c r="A55" s="10" t="s">
        <v>333</v>
      </c>
      <c r="B55" s="10" t="s">
        <v>60</v>
      </c>
      <c r="C55" s="10" t="s">
        <v>61</v>
      </c>
      <c r="D55" s="10" t="s">
        <v>334</v>
      </c>
      <c r="E55" s="10" t="s">
        <v>335</v>
      </c>
      <c r="F55" s="10" t="s">
        <v>336</v>
      </c>
      <c r="G55" s="10" t="s">
        <v>337</v>
      </c>
      <c r="H55" s="10" t="s">
        <v>338</v>
      </c>
      <c r="I55" s="10" t="s">
        <v>67</v>
      </c>
      <c r="J55" s="10"/>
      <c r="K55" s="10" t="s">
        <v>68</v>
      </c>
      <c r="L55" s="10" t="s">
        <v>339</v>
      </c>
      <c r="M55" s="10" t="s">
        <v>340</v>
      </c>
      <c r="N55" s="10" t="s">
        <v>341</v>
      </c>
      <c r="O55" s="12" t="s">
        <v>32</v>
      </c>
      <c r="P55" s="12" t="s">
        <v>1896</v>
      </c>
      <c r="Q55" s="12" t="s">
        <v>1979</v>
      </c>
      <c r="R55" s="12" t="s">
        <v>1980</v>
      </c>
      <c r="S55" s="12" t="s">
        <v>1897</v>
      </c>
      <c r="T55" s="12"/>
      <c r="U55" s="12"/>
    </row>
    <row r="56" spans="1:21" ht="91" x14ac:dyDescent="0.35">
      <c r="A56" s="10" t="s">
        <v>342</v>
      </c>
      <c r="B56" s="10" t="s">
        <v>60</v>
      </c>
      <c r="C56" s="10" t="s">
        <v>61</v>
      </c>
      <c r="D56" s="10" t="s">
        <v>334</v>
      </c>
      <c r="E56" s="10" t="s">
        <v>335</v>
      </c>
      <c r="F56" s="10" t="s">
        <v>343</v>
      </c>
      <c r="G56" s="10" t="s">
        <v>344</v>
      </c>
      <c r="H56" s="10" t="s">
        <v>338</v>
      </c>
      <c r="I56" s="10" t="s">
        <v>67</v>
      </c>
      <c r="J56" s="10"/>
      <c r="K56" s="10" t="s">
        <v>68</v>
      </c>
      <c r="L56" s="10" t="s">
        <v>345</v>
      </c>
      <c r="M56" s="10" t="s">
        <v>340</v>
      </c>
      <c r="N56" s="10" t="s">
        <v>346</v>
      </c>
      <c r="O56" s="12" t="s">
        <v>32</v>
      </c>
      <c r="P56" s="12" t="s">
        <v>1896</v>
      </c>
      <c r="Q56" s="12" t="s">
        <v>1981</v>
      </c>
      <c r="R56" s="12" t="s">
        <v>1982</v>
      </c>
      <c r="S56" s="12" t="s">
        <v>1897</v>
      </c>
      <c r="T56" s="12"/>
      <c r="U56" s="12"/>
    </row>
    <row r="57" spans="1:21" ht="91" x14ac:dyDescent="0.35">
      <c r="A57" s="10" t="s">
        <v>347</v>
      </c>
      <c r="B57" s="10" t="s">
        <v>60</v>
      </c>
      <c r="C57" s="10" t="s">
        <v>61</v>
      </c>
      <c r="D57" s="10" t="s">
        <v>334</v>
      </c>
      <c r="E57" s="10" t="s">
        <v>335</v>
      </c>
      <c r="F57" s="10" t="s">
        <v>348</v>
      </c>
      <c r="G57" s="10" t="s">
        <v>349</v>
      </c>
      <c r="H57" s="10" t="s">
        <v>338</v>
      </c>
      <c r="I57" s="10" t="s">
        <v>67</v>
      </c>
      <c r="J57" s="10"/>
      <c r="K57" s="10" t="s">
        <v>68</v>
      </c>
      <c r="L57" s="10" t="s">
        <v>350</v>
      </c>
      <c r="M57" s="10" t="s">
        <v>340</v>
      </c>
      <c r="N57" s="10" t="s">
        <v>351</v>
      </c>
      <c r="O57" s="12" t="s">
        <v>32</v>
      </c>
      <c r="P57" s="12" t="s">
        <v>1896</v>
      </c>
      <c r="Q57" s="12" t="s">
        <v>1983</v>
      </c>
      <c r="R57" s="12" t="s">
        <v>1982</v>
      </c>
      <c r="S57" s="12" t="s">
        <v>1897</v>
      </c>
      <c r="T57" s="12"/>
      <c r="U57" s="12"/>
    </row>
    <row r="58" spans="1:21" ht="91" x14ac:dyDescent="0.35">
      <c r="A58" s="10" t="s">
        <v>352</v>
      </c>
      <c r="B58" s="10" t="s">
        <v>60</v>
      </c>
      <c r="C58" s="10" t="s">
        <v>61</v>
      </c>
      <c r="D58" s="10" t="s">
        <v>334</v>
      </c>
      <c r="E58" s="10" t="s">
        <v>335</v>
      </c>
      <c r="F58" s="10" t="s">
        <v>353</v>
      </c>
      <c r="G58" s="10" t="s">
        <v>354</v>
      </c>
      <c r="H58" s="10" t="s">
        <v>338</v>
      </c>
      <c r="I58" s="10" t="s">
        <v>67</v>
      </c>
      <c r="J58" s="10"/>
      <c r="K58" s="10" t="s">
        <v>68</v>
      </c>
      <c r="L58" s="10" t="s">
        <v>355</v>
      </c>
      <c r="M58" s="10" t="s">
        <v>340</v>
      </c>
      <c r="N58" s="10" t="s">
        <v>356</v>
      </c>
      <c r="O58" s="12" t="s">
        <v>32</v>
      </c>
      <c r="P58" s="12" t="s">
        <v>1896</v>
      </c>
      <c r="Q58" s="12" t="s">
        <v>1984</v>
      </c>
      <c r="R58" s="12" t="s">
        <v>1982</v>
      </c>
      <c r="S58" s="12" t="s">
        <v>1897</v>
      </c>
      <c r="T58" s="12"/>
      <c r="U58" s="12"/>
    </row>
    <row r="59" spans="1:21" ht="91" x14ac:dyDescent="0.35">
      <c r="A59" s="10" t="s">
        <v>357</v>
      </c>
      <c r="B59" s="10" t="s">
        <v>60</v>
      </c>
      <c r="C59" s="10" t="s">
        <v>61</v>
      </c>
      <c r="D59" s="10" t="s">
        <v>334</v>
      </c>
      <c r="E59" s="10" t="s">
        <v>335</v>
      </c>
      <c r="F59" s="10" t="s">
        <v>358</v>
      </c>
      <c r="G59" s="10" t="s">
        <v>359</v>
      </c>
      <c r="H59" s="10" t="s">
        <v>338</v>
      </c>
      <c r="I59" s="10" t="s">
        <v>67</v>
      </c>
      <c r="J59" s="10"/>
      <c r="K59" s="10" t="s">
        <v>68</v>
      </c>
      <c r="L59" s="10" t="s">
        <v>360</v>
      </c>
      <c r="M59" s="10" t="s">
        <v>340</v>
      </c>
      <c r="N59" s="10" t="s">
        <v>361</v>
      </c>
      <c r="O59" s="12" t="s">
        <v>32</v>
      </c>
      <c r="P59" s="12" t="s">
        <v>1896</v>
      </c>
      <c r="Q59" s="12" t="s">
        <v>1985</v>
      </c>
      <c r="R59" s="12" t="s">
        <v>1982</v>
      </c>
      <c r="S59" s="12" t="s">
        <v>1897</v>
      </c>
      <c r="T59" s="12"/>
      <c r="U59" s="12"/>
    </row>
    <row r="60" spans="1:21" ht="91" x14ac:dyDescent="0.35">
      <c r="A60" s="10" t="s">
        <v>362</v>
      </c>
      <c r="B60" s="10" t="s">
        <v>60</v>
      </c>
      <c r="C60" s="10" t="s">
        <v>61</v>
      </c>
      <c r="D60" s="10" t="s">
        <v>334</v>
      </c>
      <c r="E60" s="10" t="s">
        <v>335</v>
      </c>
      <c r="F60" s="10" t="s">
        <v>363</v>
      </c>
      <c r="G60" s="10" t="s">
        <v>364</v>
      </c>
      <c r="H60" s="10" t="s">
        <v>338</v>
      </c>
      <c r="I60" s="10" t="s">
        <v>67</v>
      </c>
      <c r="J60" s="10"/>
      <c r="K60" s="10" t="s">
        <v>68</v>
      </c>
      <c r="L60" s="10" t="s">
        <v>365</v>
      </c>
      <c r="M60" s="10" t="s">
        <v>340</v>
      </c>
      <c r="N60" s="10" t="s">
        <v>366</v>
      </c>
      <c r="O60" s="12" t="s">
        <v>32</v>
      </c>
      <c r="P60" s="12" t="s">
        <v>1896</v>
      </c>
      <c r="Q60" s="12" t="s">
        <v>1986</v>
      </c>
      <c r="R60" s="12" t="s">
        <v>1982</v>
      </c>
      <c r="S60" s="12" t="s">
        <v>1897</v>
      </c>
      <c r="T60" s="12"/>
      <c r="U60" s="12"/>
    </row>
    <row r="61" spans="1:21" ht="130" x14ac:dyDescent="0.35">
      <c r="A61" s="10" t="s">
        <v>367</v>
      </c>
      <c r="B61" s="10" t="s">
        <v>60</v>
      </c>
      <c r="C61" s="10" t="s">
        <v>61</v>
      </c>
      <c r="D61" s="10" t="s">
        <v>334</v>
      </c>
      <c r="E61" s="10" t="s">
        <v>335</v>
      </c>
      <c r="F61" s="10" t="s">
        <v>368</v>
      </c>
      <c r="G61" s="10" t="s">
        <v>369</v>
      </c>
      <c r="H61" s="10" t="s">
        <v>338</v>
      </c>
      <c r="I61" s="10" t="s">
        <v>67</v>
      </c>
      <c r="J61" s="10"/>
      <c r="K61" s="10" t="s">
        <v>68</v>
      </c>
      <c r="L61" s="10" t="s">
        <v>370</v>
      </c>
      <c r="M61" s="10" t="s">
        <v>340</v>
      </c>
      <c r="N61" s="10" t="s">
        <v>371</v>
      </c>
      <c r="O61" s="12" t="s">
        <v>32</v>
      </c>
      <c r="P61" s="12" t="s">
        <v>1896</v>
      </c>
      <c r="Q61" s="12" t="s">
        <v>1987</v>
      </c>
      <c r="R61" s="12" t="s">
        <v>1988</v>
      </c>
      <c r="S61" s="12" t="s">
        <v>1900</v>
      </c>
      <c r="T61" s="12"/>
      <c r="U61" s="12"/>
    </row>
    <row r="62" spans="1:21" ht="91" x14ac:dyDescent="0.35">
      <c r="A62" s="10" t="s">
        <v>372</v>
      </c>
      <c r="B62" s="10" t="s">
        <v>60</v>
      </c>
      <c r="C62" s="10" t="s">
        <v>61</v>
      </c>
      <c r="D62" s="10" t="s">
        <v>334</v>
      </c>
      <c r="E62" s="10" t="s">
        <v>335</v>
      </c>
      <c r="F62" s="10" t="s">
        <v>373</v>
      </c>
      <c r="G62" s="10" t="s">
        <v>374</v>
      </c>
      <c r="H62" s="10" t="s">
        <v>338</v>
      </c>
      <c r="I62" s="10" t="s">
        <v>67</v>
      </c>
      <c r="J62" s="10"/>
      <c r="K62" s="10" t="s">
        <v>68</v>
      </c>
      <c r="L62" s="10" t="s">
        <v>375</v>
      </c>
      <c r="M62" s="10" t="s">
        <v>340</v>
      </c>
      <c r="N62" s="10" t="s">
        <v>376</v>
      </c>
      <c r="O62" s="12" t="s">
        <v>32</v>
      </c>
      <c r="P62" s="12" t="s">
        <v>1896</v>
      </c>
      <c r="Q62" s="12" t="s">
        <v>1989</v>
      </c>
      <c r="R62" s="12" t="s">
        <v>1982</v>
      </c>
      <c r="S62" s="12" t="s">
        <v>1897</v>
      </c>
      <c r="T62" s="12"/>
      <c r="U62" s="12"/>
    </row>
    <row r="63" spans="1:21" ht="91" x14ac:dyDescent="0.35">
      <c r="A63" s="10" t="s">
        <v>377</v>
      </c>
      <c r="B63" s="10" t="s">
        <v>60</v>
      </c>
      <c r="C63" s="10" t="s">
        <v>61</v>
      </c>
      <c r="D63" s="10" t="s">
        <v>334</v>
      </c>
      <c r="E63" s="10" t="s">
        <v>335</v>
      </c>
      <c r="F63" s="10" t="s">
        <v>378</v>
      </c>
      <c r="G63" s="10" t="s">
        <v>379</v>
      </c>
      <c r="H63" s="10" t="s">
        <v>338</v>
      </c>
      <c r="I63" s="10" t="s">
        <v>67</v>
      </c>
      <c r="J63" s="10"/>
      <c r="K63" s="10" t="s">
        <v>68</v>
      </c>
      <c r="L63" s="10" t="s">
        <v>380</v>
      </c>
      <c r="M63" s="10" t="s">
        <v>340</v>
      </c>
      <c r="N63" s="10" t="s">
        <v>381</v>
      </c>
      <c r="O63" s="12" t="s">
        <v>32</v>
      </c>
      <c r="P63" s="12" t="s">
        <v>1896</v>
      </c>
      <c r="Q63" s="12" t="s">
        <v>1990</v>
      </c>
      <c r="R63" s="12" t="s">
        <v>1982</v>
      </c>
      <c r="S63" s="12" t="s">
        <v>1897</v>
      </c>
      <c r="T63" s="12"/>
      <c r="U63" s="12"/>
    </row>
    <row r="64" spans="1:21" ht="117" x14ac:dyDescent="0.35">
      <c r="A64" s="10" t="s">
        <v>382</v>
      </c>
      <c r="B64" s="10" t="s">
        <v>60</v>
      </c>
      <c r="C64" s="10" t="s">
        <v>61</v>
      </c>
      <c r="D64" s="10" t="s">
        <v>334</v>
      </c>
      <c r="E64" s="10" t="s">
        <v>335</v>
      </c>
      <c r="F64" s="10" t="s">
        <v>383</v>
      </c>
      <c r="G64" s="10" t="s">
        <v>384</v>
      </c>
      <c r="H64" s="10" t="s">
        <v>338</v>
      </c>
      <c r="I64" s="10" t="s">
        <v>67</v>
      </c>
      <c r="J64" s="10"/>
      <c r="K64" s="10" t="s">
        <v>254</v>
      </c>
      <c r="L64" s="10" t="s">
        <v>255</v>
      </c>
      <c r="M64" s="10" t="s">
        <v>340</v>
      </c>
      <c r="N64" s="10" t="s">
        <v>385</v>
      </c>
      <c r="O64" s="12" t="s">
        <v>32</v>
      </c>
      <c r="P64" s="12" t="s">
        <v>1896</v>
      </c>
      <c r="Q64" s="12" t="s">
        <v>1991</v>
      </c>
      <c r="R64" s="12" t="s">
        <v>1992</v>
      </c>
      <c r="S64" s="12" t="s">
        <v>1897</v>
      </c>
      <c r="T64" s="12"/>
      <c r="U64" s="12"/>
    </row>
    <row r="65" spans="1:21" ht="91" x14ac:dyDescent="0.35">
      <c r="A65" s="10" t="s">
        <v>386</v>
      </c>
      <c r="B65" s="10" t="s">
        <v>60</v>
      </c>
      <c r="C65" s="10" t="s">
        <v>61</v>
      </c>
      <c r="D65" s="10" t="s">
        <v>387</v>
      </c>
      <c r="E65" s="10" t="s">
        <v>388</v>
      </c>
      <c r="F65" s="10" t="s">
        <v>389</v>
      </c>
      <c r="G65" s="10" t="s">
        <v>390</v>
      </c>
      <c r="H65" s="10" t="s">
        <v>391</v>
      </c>
      <c r="I65" s="10" t="s">
        <v>67</v>
      </c>
      <c r="J65" s="10"/>
      <c r="K65" s="10" t="s">
        <v>68</v>
      </c>
      <c r="L65" s="10" t="s">
        <v>392</v>
      </c>
      <c r="M65" s="10" t="s">
        <v>393</v>
      </c>
      <c r="N65" s="10" t="s">
        <v>394</v>
      </c>
      <c r="O65" s="12" t="s">
        <v>32</v>
      </c>
      <c r="P65" s="12" t="s">
        <v>1896</v>
      </c>
      <c r="Q65" s="12" t="s">
        <v>1993</v>
      </c>
      <c r="R65" s="12" t="s">
        <v>1923</v>
      </c>
      <c r="S65" s="12" t="s">
        <v>1897</v>
      </c>
      <c r="T65" s="12"/>
      <c r="U65" s="12"/>
    </row>
    <row r="66" spans="1:21" ht="91" x14ac:dyDescent="0.35">
      <c r="A66" s="10" t="s">
        <v>395</v>
      </c>
      <c r="B66" s="10" t="s">
        <v>60</v>
      </c>
      <c r="C66" s="10" t="s">
        <v>61</v>
      </c>
      <c r="D66" s="10" t="s">
        <v>387</v>
      </c>
      <c r="E66" s="10" t="s">
        <v>388</v>
      </c>
      <c r="F66" s="10" t="s">
        <v>396</v>
      </c>
      <c r="G66" s="10" t="s">
        <v>397</v>
      </c>
      <c r="H66" s="10" t="s">
        <v>391</v>
      </c>
      <c r="I66" s="10" t="s">
        <v>67</v>
      </c>
      <c r="J66" s="10"/>
      <c r="K66" s="10" t="s">
        <v>68</v>
      </c>
      <c r="L66" s="10" t="s">
        <v>398</v>
      </c>
      <c r="M66" s="10" t="s">
        <v>393</v>
      </c>
      <c r="N66" s="10" t="s">
        <v>399</v>
      </c>
      <c r="O66" s="12" t="s">
        <v>32</v>
      </c>
      <c r="P66" s="12" t="s">
        <v>1896</v>
      </c>
      <c r="Q66" s="12" t="s">
        <v>1994</v>
      </c>
      <c r="R66" s="12" t="s">
        <v>1923</v>
      </c>
      <c r="S66" s="12" t="s">
        <v>1897</v>
      </c>
      <c r="T66" s="12"/>
      <c r="U66" s="12"/>
    </row>
    <row r="67" spans="1:21" ht="91" x14ac:dyDescent="0.35">
      <c r="A67" s="10" t="s">
        <v>400</v>
      </c>
      <c r="B67" s="10" t="s">
        <v>60</v>
      </c>
      <c r="C67" s="10" t="s">
        <v>61</v>
      </c>
      <c r="D67" s="10" t="s">
        <v>387</v>
      </c>
      <c r="E67" s="10" t="s">
        <v>388</v>
      </c>
      <c r="F67" s="10" t="s">
        <v>401</v>
      </c>
      <c r="G67" s="10" t="s">
        <v>402</v>
      </c>
      <c r="H67" s="10" t="s">
        <v>391</v>
      </c>
      <c r="I67" s="10" t="s">
        <v>67</v>
      </c>
      <c r="J67" s="10"/>
      <c r="K67" s="10" t="s">
        <v>68</v>
      </c>
      <c r="L67" s="10" t="s">
        <v>403</v>
      </c>
      <c r="M67" s="10" t="s">
        <v>393</v>
      </c>
      <c r="N67" s="10" t="s">
        <v>404</v>
      </c>
      <c r="O67" s="12" t="s">
        <v>32</v>
      </c>
      <c r="P67" s="12" t="s">
        <v>1896</v>
      </c>
      <c r="Q67" s="12" t="s">
        <v>1995</v>
      </c>
      <c r="R67" s="12" t="s">
        <v>1923</v>
      </c>
      <c r="S67" s="12" t="s">
        <v>1897</v>
      </c>
      <c r="T67" s="12"/>
      <c r="U67" s="12"/>
    </row>
    <row r="68" spans="1:21" ht="91" x14ac:dyDescent="0.35">
      <c r="A68" s="10" t="s">
        <v>405</v>
      </c>
      <c r="B68" s="10" t="s">
        <v>60</v>
      </c>
      <c r="C68" s="10" t="s">
        <v>61</v>
      </c>
      <c r="D68" s="10" t="s">
        <v>387</v>
      </c>
      <c r="E68" s="10" t="s">
        <v>388</v>
      </c>
      <c r="F68" s="10" t="s">
        <v>406</v>
      </c>
      <c r="G68" s="10" t="s">
        <v>407</v>
      </c>
      <c r="H68" s="10" t="s">
        <v>391</v>
      </c>
      <c r="I68" s="10" t="s">
        <v>67</v>
      </c>
      <c r="J68" s="10"/>
      <c r="K68" s="10" t="s">
        <v>68</v>
      </c>
      <c r="L68" s="10" t="s">
        <v>408</v>
      </c>
      <c r="M68" s="10" t="s">
        <v>393</v>
      </c>
      <c r="N68" s="10" t="s">
        <v>409</v>
      </c>
      <c r="O68" s="12" t="s">
        <v>32</v>
      </c>
      <c r="P68" s="12" t="s">
        <v>1896</v>
      </c>
      <c r="Q68" s="12" t="s">
        <v>1996</v>
      </c>
      <c r="R68" s="12" t="s">
        <v>1923</v>
      </c>
      <c r="S68" s="12" t="s">
        <v>1897</v>
      </c>
      <c r="T68" s="12"/>
      <c r="U68" s="12"/>
    </row>
    <row r="69" spans="1:21" ht="91" x14ac:dyDescent="0.35">
      <c r="A69" s="10" t="s">
        <v>410</v>
      </c>
      <c r="B69" s="10" t="s">
        <v>60</v>
      </c>
      <c r="C69" s="10" t="s">
        <v>61</v>
      </c>
      <c r="D69" s="10" t="s">
        <v>411</v>
      </c>
      <c r="E69" s="10" t="s">
        <v>412</v>
      </c>
      <c r="F69" s="10" t="s">
        <v>413</v>
      </c>
      <c r="G69" s="10" t="s">
        <v>414</v>
      </c>
      <c r="H69" s="10" t="s">
        <v>415</v>
      </c>
      <c r="I69" s="10" t="s">
        <v>67</v>
      </c>
      <c r="J69" s="10"/>
      <c r="K69" s="10" t="s">
        <v>68</v>
      </c>
      <c r="L69" s="10" t="s">
        <v>416</v>
      </c>
      <c r="M69" s="10" t="s">
        <v>417</v>
      </c>
      <c r="N69" s="10" t="s">
        <v>418</v>
      </c>
      <c r="O69" s="12" t="s">
        <v>32</v>
      </c>
      <c r="P69" s="12" t="s">
        <v>1896</v>
      </c>
      <c r="Q69" s="12" t="s">
        <v>1997</v>
      </c>
      <c r="R69" s="12" t="s">
        <v>1923</v>
      </c>
      <c r="S69" s="12" t="s">
        <v>1897</v>
      </c>
      <c r="T69" s="12"/>
      <c r="U69" s="12"/>
    </row>
    <row r="70" spans="1:21" ht="91" x14ac:dyDescent="0.35">
      <c r="A70" s="10" t="s">
        <v>419</v>
      </c>
      <c r="B70" s="10" t="s">
        <v>60</v>
      </c>
      <c r="C70" s="10" t="s">
        <v>61</v>
      </c>
      <c r="D70" s="10" t="s">
        <v>411</v>
      </c>
      <c r="E70" s="10" t="s">
        <v>412</v>
      </c>
      <c r="F70" s="10" t="s">
        <v>420</v>
      </c>
      <c r="G70" s="10" t="s">
        <v>421</v>
      </c>
      <c r="H70" s="10" t="s">
        <v>415</v>
      </c>
      <c r="I70" s="10" t="s">
        <v>67</v>
      </c>
      <c r="J70" s="10"/>
      <c r="K70" s="10" t="s">
        <v>68</v>
      </c>
      <c r="L70" s="10" t="s">
        <v>422</v>
      </c>
      <c r="M70" s="10" t="s">
        <v>417</v>
      </c>
      <c r="N70" s="10" t="s">
        <v>423</v>
      </c>
      <c r="O70" s="12" t="s">
        <v>32</v>
      </c>
      <c r="P70" s="12" t="s">
        <v>1896</v>
      </c>
      <c r="Q70" s="12" t="s">
        <v>1998</v>
      </c>
      <c r="R70" s="12" t="s">
        <v>1923</v>
      </c>
      <c r="S70" s="12" t="s">
        <v>1897</v>
      </c>
      <c r="T70" s="12"/>
      <c r="U70" s="12"/>
    </row>
    <row r="71" spans="1:21" ht="91" x14ac:dyDescent="0.35">
      <c r="A71" s="10" t="s">
        <v>424</v>
      </c>
      <c r="B71" s="10" t="s">
        <v>60</v>
      </c>
      <c r="C71" s="10" t="s">
        <v>61</v>
      </c>
      <c r="D71" s="10" t="s">
        <v>411</v>
      </c>
      <c r="E71" s="10" t="s">
        <v>412</v>
      </c>
      <c r="F71" s="10" t="s">
        <v>425</v>
      </c>
      <c r="G71" s="10" t="s">
        <v>426</v>
      </c>
      <c r="H71" s="10" t="s">
        <v>415</v>
      </c>
      <c r="I71" s="10" t="s">
        <v>67</v>
      </c>
      <c r="J71" s="10"/>
      <c r="K71" s="10" t="s">
        <v>113</v>
      </c>
      <c r="L71" s="10" t="s">
        <v>427</v>
      </c>
      <c r="M71" s="10" t="s">
        <v>417</v>
      </c>
      <c r="N71" s="10" t="s">
        <v>428</v>
      </c>
      <c r="O71" s="12" t="s">
        <v>32</v>
      </c>
      <c r="P71" s="12" t="s">
        <v>1896</v>
      </c>
      <c r="Q71" s="12" t="s">
        <v>1999</v>
      </c>
      <c r="R71" s="12" t="s">
        <v>1923</v>
      </c>
      <c r="S71" s="12" t="s">
        <v>1897</v>
      </c>
      <c r="T71" s="12"/>
      <c r="U71" s="12"/>
    </row>
    <row r="72" spans="1:21" ht="91" x14ac:dyDescent="0.35">
      <c r="A72" s="10" t="s">
        <v>429</v>
      </c>
      <c r="B72" s="10" t="s">
        <v>60</v>
      </c>
      <c r="C72" s="10" t="s">
        <v>61</v>
      </c>
      <c r="D72" s="10" t="s">
        <v>430</v>
      </c>
      <c r="E72" s="10" t="s">
        <v>431</v>
      </c>
      <c r="F72" s="10" t="s">
        <v>432</v>
      </c>
      <c r="G72" s="10" t="s">
        <v>433</v>
      </c>
      <c r="H72" s="10" t="s">
        <v>434</v>
      </c>
      <c r="I72" s="10" t="s">
        <v>67</v>
      </c>
      <c r="J72" s="10"/>
      <c r="K72" s="10" t="s">
        <v>68</v>
      </c>
      <c r="L72" s="10" t="s">
        <v>435</v>
      </c>
      <c r="M72" s="10" t="s">
        <v>436</v>
      </c>
      <c r="N72" s="10" t="s">
        <v>437</v>
      </c>
      <c r="O72" s="12" t="s">
        <v>31</v>
      </c>
      <c r="P72" s="12" t="s">
        <v>1898</v>
      </c>
      <c r="Q72" s="12" t="s">
        <v>2000</v>
      </c>
      <c r="R72" s="12" t="s">
        <v>1947</v>
      </c>
      <c r="S72" s="12" t="s">
        <v>2001</v>
      </c>
      <c r="T72" s="12"/>
      <c r="U72" s="12"/>
    </row>
    <row r="73" spans="1:21" ht="91" x14ac:dyDescent="0.35">
      <c r="A73" s="10" t="s">
        <v>438</v>
      </c>
      <c r="B73" s="10" t="s">
        <v>60</v>
      </c>
      <c r="C73" s="10" t="s">
        <v>61</v>
      </c>
      <c r="D73" s="10" t="s">
        <v>430</v>
      </c>
      <c r="E73" s="10" t="s">
        <v>431</v>
      </c>
      <c r="F73" s="10" t="s">
        <v>439</v>
      </c>
      <c r="G73" s="10" t="s">
        <v>440</v>
      </c>
      <c r="H73" s="10" t="s">
        <v>434</v>
      </c>
      <c r="I73" s="10" t="s">
        <v>67</v>
      </c>
      <c r="J73" s="10"/>
      <c r="K73" s="10" t="s">
        <v>68</v>
      </c>
      <c r="L73" s="10" t="s">
        <v>441</v>
      </c>
      <c r="M73" s="10" t="s">
        <v>436</v>
      </c>
      <c r="N73" s="10" t="s">
        <v>442</v>
      </c>
      <c r="O73" s="12" t="s">
        <v>31</v>
      </c>
      <c r="P73" s="12" t="s">
        <v>1898</v>
      </c>
      <c r="Q73" s="12" t="s">
        <v>2002</v>
      </c>
      <c r="R73" s="12" t="s">
        <v>2003</v>
      </c>
      <c r="S73" s="12" t="s">
        <v>2001</v>
      </c>
      <c r="T73" s="12"/>
      <c r="U73" s="12"/>
    </row>
    <row r="74" spans="1:21" ht="91" x14ac:dyDescent="0.35">
      <c r="A74" s="10" t="s">
        <v>443</v>
      </c>
      <c r="B74" s="10" t="s">
        <v>60</v>
      </c>
      <c r="C74" s="10" t="s">
        <v>61</v>
      </c>
      <c r="D74" s="10" t="s">
        <v>444</v>
      </c>
      <c r="E74" s="10" t="s">
        <v>445</v>
      </c>
      <c r="F74" s="10" t="s">
        <v>446</v>
      </c>
      <c r="G74" s="10" t="s">
        <v>447</v>
      </c>
      <c r="H74" s="10" t="s">
        <v>448</v>
      </c>
      <c r="I74" s="10" t="s">
        <v>67</v>
      </c>
      <c r="J74" s="10"/>
      <c r="K74" s="10" t="s">
        <v>68</v>
      </c>
      <c r="L74" s="10" t="s">
        <v>449</v>
      </c>
      <c r="M74" s="10" t="s">
        <v>450</v>
      </c>
      <c r="N74" s="10" t="s">
        <v>451</v>
      </c>
      <c r="O74" s="12" t="s">
        <v>32</v>
      </c>
      <c r="P74" s="12" t="s">
        <v>1896</v>
      </c>
      <c r="Q74" s="12" t="s">
        <v>2004</v>
      </c>
      <c r="R74" s="12" t="s">
        <v>1923</v>
      </c>
      <c r="S74" s="12" t="s">
        <v>1897</v>
      </c>
      <c r="T74" s="12"/>
      <c r="U74" s="12"/>
    </row>
    <row r="75" spans="1:21" ht="91" x14ac:dyDescent="0.35">
      <c r="A75" s="10" t="s">
        <v>452</v>
      </c>
      <c r="B75" s="10" t="s">
        <v>60</v>
      </c>
      <c r="C75" s="10" t="s">
        <v>61</v>
      </c>
      <c r="D75" s="10" t="s">
        <v>444</v>
      </c>
      <c r="E75" s="10" t="s">
        <v>445</v>
      </c>
      <c r="F75" s="10" t="s">
        <v>453</v>
      </c>
      <c r="G75" s="10" t="s">
        <v>454</v>
      </c>
      <c r="H75" s="10" t="s">
        <v>448</v>
      </c>
      <c r="I75" s="10" t="s">
        <v>67</v>
      </c>
      <c r="J75" s="10"/>
      <c r="K75" s="10" t="s">
        <v>68</v>
      </c>
      <c r="L75" s="10" t="s">
        <v>455</v>
      </c>
      <c r="M75" s="10" t="s">
        <v>450</v>
      </c>
      <c r="N75" s="10" t="s">
        <v>456</v>
      </c>
      <c r="O75" s="12" t="s">
        <v>32</v>
      </c>
      <c r="P75" s="12" t="s">
        <v>1896</v>
      </c>
      <c r="Q75" s="12" t="s">
        <v>2005</v>
      </c>
      <c r="R75" s="12" t="s">
        <v>1923</v>
      </c>
      <c r="S75" s="12" t="s">
        <v>1897</v>
      </c>
      <c r="T75" s="12"/>
      <c r="U75" s="12"/>
    </row>
    <row r="76" spans="1:21" ht="91" x14ac:dyDescent="0.35">
      <c r="A76" s="10" t="s">
        <v>457</v>
      </c>
      <c r="B76" s="10" t="s">
        <v>60</v>
      </c>
      <c r="C76" s="10" t="s">
        <v>458</v>
      </c>
      <c r="D76" s="10" t="s">
        <v>459</v>
      </c>
      <c r="E76" s="10" t="s">
        <v>460</v>
      </c>
      <c r="F76" s="10" t="s">
        <v>461</v>
      </c>
      <c r="G76" s="10" t="s">
        <v>462</v>
      </c>
      <c r="H76" s="10" t="s">
        <v>463</v>
      </c>
      <c r="I76" s="10" t="s">
        <v>67</v>
      </c>
      <c r="J76" s="10"/>
      <c r="K76" s="10" t="s">
        <v>113</v>
      </c>
      <c r="L76" s="10" t="s">
        <v>464</v>
      </c>
      <c r="M76" s="10" t="s">
        <v>465</v>
      </c>
      <c r="N76" s="10" t="s">
        <v>466</v>
      </c>
      <c r="O76" s="12" t="s">
        <v>32</v>
      </c>
      <c r="P76" s="12" t="s">
        <v>1896</v>
      </c>
      <c r="Q76" s="12" t="s">
        <v>2006</v>
      </c>
      <c r="R76" s="12" t="s">
        <v>1947</v>
      </c>
      <c r="S76" s="12" t="s">
        <v>1935</v>
      </c>
      <c r="T76" s="12"/>
      <c r="U76" s="12"/>
    </row>
    <row r="77" spans="1:21" ht="91" x14ac:dyDescent="0.35">
      <c r="A77" s="10" t="s">
        <v>467</v>
      </c>
      <c r="B77" s="10" t="s">
        <v>60</v>
      </c>
      <c r="C77" s="10" t="s">
        <v>458</v>
      </c>
      <c r="D77" s="10" t="s">
        <v>459</v>
      </c>
      <c r="E77" s="10" t="s">
        <v>460</v>
      </c>
      <c r="F77" s="10" t="s">
        <v>468</v>
      </c>
      <c r="G77" s="10" t="s">
        <v>469</v>
      </c>
      <c r="H77" s="10" t="s">
        <v>463</v>
      </c>
      <c r="I77" s="10" t="s">
        <v>67</v>
      </c>
      <c r="J77" s="10"/>
      <c r="K77" s="10" t="s">
        <v>113</v>
      </c>
      <c r="L77" s="10" t="s">
        <v>470</v>
      </c>
      <c r="M77" s="10" t="s">
        <v>465</v>
      </c>
      <c r="N77" s="10" t="s">
        <v>471</v>
      </c>
      <c r="O77" s="12" t="s">
        <v>32</v>
      </c>
      <c r="P77" s="12" t="s">
        <v>1896</v>
      </c>
      <c r="Q77" s="12" t="s">
        <v>2007</v>
      </c>
      <c r="R77" s="12" t="s">
        <v>1947</v>
      </c>
      <c r="S77" s="12" t="s">
        <v>1935</v>
      </c>
      <c r="T77" s="12"/>
      <c r="U77" s="12"/>
    </row>
    <row r="78" spans="1:21" ht="156" x14ac:dyDescent="0.35">
      <c r="A78" s="10" t="s">
        <v>472</v>
      </c>
      <c r="B78" s="10" t="s">
        <v>60</v>
      </c>
      <c r="C78" s="10" t="s">
        <v>458</v>
      </c>
      <c r="D78" s="10" t="s">
        <v>459</v>
      </c>
      <c r="E78" s="10" t="s">
        <v>460</v>
      </c>
      <c r="F78" s="10" t="s">
        <v>473</v>
      </c>
      <c r="G78" s="10" t="s">
        <v>474</v>
      </c>
      <c r="H78" s="10" t="s">
        <v>463</v>
      </c>
      <c r="I78" s="10" t="s">
        <v>67</v>
      </c>
      <c r="J78" s="10"/>
      <c r="K78" s="10" t="s">
        <v>113</v>
      </c>
      <c r="L78" s="10" t="s">
        <v>475</v>
      </c>
      <c r="M78" s="10" t="s">
        <v>465</v>
      </c>
      <c r="N78" s="10" t="s">
        <v>476</v>
      </c>
      <c r="O78" s="12" t="s">
        <v>32</v>
      </c>
      <c r="P78" s="12" t="s">
        <v>1896</v>
      </c>
      <c r="Q78" s="12" t="s">
        <v>2008</v>
      </c>
      <c r="R78" s="12" t="s">
        <v>2009</v>
      </c>
      <c r="S78" s="12" t="s">
        <v>1935</v>
      </c>
      <c r="T78" s="12"/>
      <c r="U78" s="12"/>
    </row>
    <row r="79" spans="1:21" ht="91" x14ac:dyDescent="0.35">
      <c r="A79" s="10" t="s">
        <v>477</v>
      </c>
      <c r="B79" s="10" t="s">
        <v>60</v>
      </c>
      <c r="C79" s="10" t="s">
        <v>458</v>
      </c>
      <c r="D79" s="10" t="s">
        <v>459</v>
      </c>
      <c r="E79" s="10" t="s">
        <v>460</v>
      </c>
      <c r="F79" s="10" t="s">
        <v>478</v>
      </c>
      <c r="G79" s="10" t="s">
        <v>479</v>
      </c>
      <c r="H79" s="10" t="s">
        <v>463</v>
      </c>
      <c r="I79" s="10" t="s">
        <v>67</v>
      </c>
      <c r="J79" s="10"/>
      <c r="K79" s="10" t="s">
        <v>113</v>
      </c>
      <c r="L79" s="10" t="s">
        <v>480</v>
      </c>
      <c r="M79" s="10" t="s">
        <v>465</v>
      </c>
      <c r="N79" s="10" t="s">
        <v>481</v>
      </c>
      <c r="O79" s="12" t="s">
        <v>32</v>
      </c>
      <c r="P79" s="12" t="s">
        <v>1896</v>
      </c>
      <c r="Q79" s="12" t="s">
        <v>2010</v>
      </c>
      <c r="R79" s="12" t="s">
        <v>1947</v>
      </c>
      <c r="S79" s="12" t="s">
        <v>1935</v>
      </c>
      <c r="T79" s="12"/>
      <c r="U79" s="12"/>
    </row>
    <row r="80" spans="1:21" ht="130" x14ac:dyDescent="0.35">
      <c r="A80" s="10" t="s">
        <v>482</v>
      </c>
      <c r="B80" s="10" t="s">
        <v>60</v>
      </c>
      <c r="C80" s="10" t="s">
        <v>458</v>
      </c>
      <c r="D80" s="10" t="s">
        <v>459</v>
      </c>
      <c r="E80" s="10" t="s">
        <v>460</v>
      </c>
      <c r="F80" s="10" t="s">
        <v>483</v>
      </c>
      <c r="G80" s="10" t="s">
        <v>484</v>
      </c>
      <c r="H80" s="10" t="s">
        <v>463</v>
      </c>
      <c r="I80" s="10" t="s">
        <v>67</v>
      </c>
      <c r="J80" s="10"/>
      <c r="K80" s="10" t="s">
        <v>113</v>
      </c>
      <c r="L80" s="10" t="s">
        <v>485</v>
      </c>
      <c r="M80" s="10" t="s">
        <v>465</v>
      </c>
      <c r="N80" s="10" t="s">
        <v>486</v>
      </c>
      <c r="O80" s="12" t="s">
        <v>32</v>
      </c>
      <c r="P80" s="12" t="s">
        <v>1896</v>
      </c>
      <c r="Q80" s="12" t="s">
        <v>2011</v>
      </c>
      <c r="R80" s="12" t="s">
        <v>2012</v>
      </c>
      <c r="S80" s="12" t="s">
        <v>1935</v>
      </c>
      <c r="T80" s="12"/>
      <c r="U80" s="12"/>
    </row>
    <row r="81" spans="1:21" ht="91" x14ac:dyDescent="0.35">
      <c r="A81" s="10" t="s">
        <v>487</v>
      </c>
      <c r="B81" s="10" t="s">
        <v>60</v>
      </c>
      <c r="C81" s="10" t="s">
        <v>458</v>
      </c>
      <c r="D81" s="10" t="s">
        <v>459</v>
      </c>
      <c r="E81" s="10" t="s">
        <v>460</v>
      </c>
      <c r="F81" s="10" t="s">
        <v>488</v>
      </c>
      <c r="G81" s="10" t="s">
        <v>489</v>
      </c>
      <c r="H81" s="10" t="s">
        <v>463</v>
      </c>
      <c r="I81" s="10" t="s">
        <v>67</v>
      </c>
      <c r="J81" s="10"/>
      <c r="K81" s="10" t="s">
        <v>113</v>
      </c>
      <c r="L81" s="10" t="s">
        <v>490</v>
      </c>
      <c r="M81" s="10" t="s">
        <v>465</v>
      </c>
      <c r="N81" s="10" t="s">
        <v>491</v>
      </c>
      <c r="O81" s="12" t="s">
        <v>32</v>
      </c>
      <c r="P81" s="12" t="s">
        <v>1896</v>
      </c>
      <c r="Q81" s="12" t="s">
        <v>2013</v>
      </c>
      <c r="R81" s="12" t="s">
        <v>1947</v>
      </c>
      <c r="S81" s="12" t="s">
        <v>1935</v>
      </c>
      <c r="T81" s="12"/>
      <c r="U81" s="12"/>
    </row>
    <row r="82" spans="1:21" ht="91" x14ac:dyDescent="0.35">
      <c r="A82" s="10" t="s">
        <v>492</v>
      </c>
      <c r="B82" s="10" t="s">
        <v>60</v>
      </c>
      <c r="C82" s="10" t="s">
        <v>458</v>
      </c>
      <c r="D82" s="10" t="s">
        <v>459</v>
      </c>
      <c r="E82" s="10" t="s">
        <v>460</v>
      </c>
      <c r="F82" s="10" t="s">
        <v>493</v>
      </c>
      <c r="G82" s="10" t="s">
        <v>494</v>
      </c>
      <c r="H82" s="10" t="s">
        <v>463</v>
      </c>
      <c r="I82" s="10" t="s">
        <v>67</v>
      </c>
      <c r="J82" s="10"/>
      <c r="K82" s="10" t="s">
        <v>113</v>
      </c>
      <c r="L82" s="10" t="s">
        <v>495</v>
      </c>
      <c r="M82" s="10" t="s">
        <v>465</v>
      </c>
      <c r="N82" s="10" t="s">
        <v>496</v>
      </c>
      <c r="O82" s="12" t="s">
        <v>32</v>
      </c>
      <c r="P82" s="12" t="s">
        <v>1896</v>
      </c>
      <c r="Q82" s="12" t="s">
        <v>2014</v>
      </c>
      <c r="R82" s="12" t="s">
        <v>1947</v>
      </c>
      <c r="S82" s="12" t="s">
        <v>1935</v>
      </c>
      <c r="T82" s="12"/>
      <c r="U82" s="12"/>
    </row>
    <row r="83" spans="1:21" ht="91" x14ac:dyDescent="0.35">
      <c r="A83" s="10" t="s">
        <v>497</v>
      </c>
      <c r="B83" s="10" t="s">
        <v>60</v>
      </c>
      <c r="C83" s="10" t="s">
        <v>458</v>
      </c>
      <c r="D83" s="10" t="s">
        <v>459</v>
      </c>
      <c r="E83" s="10" t="s">
        <v>460</v>
      </c>
      <c r="F83" s="10" t="s">
        <v>498</v>
      </c>
      <c r="G83" s="10" t="s">
        <v>499</v>
      </c>
      <c r="H83" s="10" t="s">
        <v>463</v>
      </c>
      <c r="I83" s="10" t="s">
        <v>67</v>
      </c>
      <c r="J83" s="10"/>
      <c r="K83" s="10" t="s">
        <v>113</v>
      </c>
      <c r="L83" s="10" t="s">
        <v>500</v>
      </c>
      <c r="M83" s="10" t="s">
        <v>465</v>
      </c>
      <c r="N83" s="10" t="s">
        <v>501</v>
      </c>
      <c r="O83" s="12" t="s">
        <v>32</v>
      </c>
      <c r="P83" s="12" t="s">
        <v>1896</v>
      </c>
      <c r="Q83" s="12" t="s">
        <v>2015</v>
      </c>
      <c r="R83" s="12" t="s">
        <v>1947</v>
      </c>
      <c r="S83" s="12" t="s">
        <v>1935</v>
      </c>
      <c r="T83" s="12"/>
      <c r="U83" s="12"/>
    </row>
    <row r="84" spans="1:21" ht="91" x14ac:dyDescent="0.35">
      <c r="A84" s="10" t="s">
        <v>502</v>
      </c>
      <c r="B84" s="10" t="s">
        <v>60</v>
      </c>
      <c r="C84" s="10" t="s">
        <v>458</v>
      </c>
      <c r="D84" s="10" t="s">
        <v>459</v>
      </c>
      <c r="E84" s="10" t="s">
        <v>460</v>
      </c>
      <c r="F84" s="10" t="s">
        <v>503</v>
      </c>
      <c r="G84" s="10" t="s">
        <v>504</v>
      </c>
      <c r="H84" s="10" t="s">
        <v>463</v>
      </c>
      <c r="I84" s="10" t="s">
        <v>67</v>
      </c>
      <c r="J84" s="10"/>
      <c r="K84" s="10" t="s">
        <v>113</v>
      </c>
      <c r="L84" s="10" t="s">
        <v>505</v>
      </c>
      <c r="M84" s="10" t="s">
        <v>465</v>
      </c>
      <c r="N84" s="10" t="s">
        <v>506</v>
      </c>
      <c r="O84" s="12" t="s">
        <v>32</v>
      </c>
      <c r="P84" s="12" t="s">
        <v>1896</v>
      </c>
      <c r="Q84" s="12" t="s">
        <v>2016</v>
      </c>
      <c r="R84" s="12" t="s">
        <v>1947</v>
      </c>
      <c r="S84" s="12" t="s">
        <v>1935</v>
      </c>
      <c r="T84" s="12"/>
      <c r="U84" s="12"/>
    </row>
    <row r="85" spans="1:21" ht="169" x14ac:dyDescent="0.35">
      <c r="A85" s="10" t="s">
        <v>507</v>
      </c>
      <c r="B85" s="10" t="s">
        <v>60</v>
      </c>
      <c r="C85" s="10" t="s">
        <v>458</v>
      </c>
      <c r="D85" s="10" t="s">
        <v>459</v>
      </c>
      <c r="E85" s="10" t="s">
        <v>460</v>
      </c>
      <c r="F85" s="10" t="s">
        <v>508</v>
      </c>
      <c r="G85" s="10" t="s">
        <v>509</v>
      </c>
      <c r="H85" s="10" t="s">
        <v>463</v>
      </c>
      <c r="I85" s="10" t="s">
        <v>67</v>
      </c>
      <c r="J85" s="10"/>
      <c r="K85" s="10" t="s">
        <v>254</v>
      </c>
      <c r="L85" s="10" t="s">
        <v>255</v>
      </c>
      <c r="M85" s="10" t="s">
        <v>465</v>
      </c>
      <c r="N85" s="10" t="s">
        <v>510</v>
      </c>
      <c r="O85" s="12" t="s">
        <v>32</v>
      </c>
      <c r="P85" s="12" t="s">
        <v>1896</v>
      </c>
      <c r="Q85" s="12" t="s">
        <v>2017</v>
      </c>
      <c r="R85" s="12" t="s">
        <v>2018</v>
      </c>
      <c r="S85" s="12" t="s">
        <v>1935</v>
      </c>
      <c r="T85" s="12"/>
      <c r="U85" s="12"/>
    </row>
    <row r="86" spans="1:21" ht="104" x14ac:dyDescent="0.35">
      <c r="A86" s="10" t="s">
        <v>511</v>
      </c>
      <c r="B86" s="10" t="s">
        <v>60</v>
      </c>
      <c r="C86" s="10" t="s">
        <v>458</v>
      </c>
      <c r="D86" s="10" t="s">
        <v>512</v>
      </c>
      <c r="E86" s="10" t="s">
        <v>513</v>
      </c>
      <c r="F86" s="10" t="s">
        <v>514</v>
      </c>
      <c r="G86" s="10" t="s">
        <v>515</v>
      </c>
      <c r="H86" s="10" t="s">
        <v>516</v>
      </c>
      <c r="I86" s="10" t="s">
        <v>67</v>
      </c>
      <c r="J86" s="10"/>
      <c r="K86" s="10" t="s">
        <v>113</v>
      </c>
      <c r="L86" s="10" t="s">
        <v>517</v>
      </c>
      <c r="M86" s="10" t="s">
        <v>518</v>
      </c>
      <c r="N86" s="10" t="s">
        <v>519</v>
      </c>
      <c r="O86" s="12" t="s">
        <v>32</v>
      </c>
      <c r="P86" s="12" t="s">
        <v>1896</v>
      </c>
      <c r="Q86" s="12" t="s">
        <v>2019</v>
      </c>
      <c r="R86" s="12" t="s">
        <v>1932</v>
      </c>
      <c r="S86" s="12" t="s">
        <v>1897</v>
      </c>
      <c r="T86" s="12"/>
      <c r="U86" s="12"/>
    </row>
    <row r="87" spans="1:21" ht="104" x14ac:dyDescent="0.35">
      <c r="A87" s="10" t="s">
        <v>520</v>
      </c>
      <c r="B87" s="10" t="s">
        <v>60</v>
      </c>
      <c r="C87" s="10" t="s">
        <v>458</v>
      </c>
      <c r="D87" s="10" t="s">
        <v>512</v>
      </c>
      <c r="E87" s="10" t="s">
        <v>513</v>
      </c>
      <c r="F87" s="10" t="s">
        <v>521</v>
      </c>
      <c r="G87" s="10" t="s">
        <v>522</v>
      </c>
      <c r="H87" s="10" t="s">
        <v>516</v>
      </c>
      <c r="I87" s="10" t="s">
        <v>67</v>
      </c>
      <c r="J87" s="10"/>
      <c r="K87" s="10" t="s">
        <v>113</v>
      </c>
      <c r="L87" s="10" t="s">
        <v>523</v>
      </c>
      <c r="M87" s="10" t="s">
        <v>518</v>
      </c>
      <c r="N87" s="10" t="s">
        <v>524</v>
      </c>
      <c r="O87" s="12" t="s">
        <v>32</v>
      </c>
      <c r="P87" s="12" t="s">
        <v>1896</v>
      </c>
      <c r="Q87" s="12" t="s">
        <v>2020</v>
      </c>
      <c r="R87" s="12" t="s">
        <v>1932</v>
      </c>
      <c r="S87" s="12" t="s">
        <v>1897</v>
      </c>
      <c r="T87" s="12"/>
      <c r="U87" s="12"/>
    </row>
    <row r="88" spans="1:21" ht="104" x14ac:dyDescent="0.35">
      <c r="A88" s="10" t="s">
        <v>525</v>
      </c>
      <c r="B88" s="10" t="s">
        <v>60</v>
      </c>
      <c r="C88" s="10" t="s">
        <v>458</v>
      </c>
      <c r="D88" s="10" t="s">
        <v>512</v>
      </c>
      <c r="E88" s="10" t="s">
        <v>513</v>
      </c>
      <c r="F88" s="10" t="s">
        <v>526</v>
      </c>
      <c r="G88" s="10" t="s">
        <v>527</v>
      </c>
      <c r="H88" s="10" t="s">
        <v>516</v>
      </c>
      <c r="I88" s="10" t="s">
        <v>67</v>
      </c>
      <c r="J88" s="10"/>
      <c r="K88" s="10" t="s">
        <v>113</v>
      </c>
      <c r="L88" s="10" t="s">
        <v>528</v>
      </c>
      <c r="M88" s="10" t="s">
        <v>518</v>
      </c>
      <c r="N88" s="10" t="s">
        <v>529</v>
      </c>
      <c r="O88" s="12" t="s">
        <v>32</v>
      </c>
      <c r="P88" s="12" t="s">
        <v>1896</v>
      </c>
      <c r="Q88" s="12" t="s">
        <v>2021</v>
      </c>
      <c r="R88" s="12" t="s">
        <v>1932</v>
      </c>
      <c r="S88" s="12" t="s">
        <v>1897</v>
      </c>
      <c r="T88" s="12"/>
      <c r="U88" s="12"/>
    </row>
    <row r="89" spans="1:21" ht="104" x14ac:dyDescent="0.35">
      <c r="A89" s="10" t="s">
        <v>530</v>
      </c>
      <c r="B89" s="10" t="s">
        <v>60</v>
      </c>
      <c r="C89" s="10" t="s">
        <v>458</v>
      </c>
      <c r="D89" s="10" t="s">
        <v>512</v>
      </c>
      <c r="E89" s="10" t="s">
        <v>513</v>
      </c>
      <c r="F89" s="10" t="s">
        <v>531</v>
      </c>
      <c r="G89" s="10" t="s">
        <v>532</v>
      </c>
      <c r="H89" s="10" t="s">
        <v>516</v>
      </c>
      <c r="I89" s="10" t="s">
        <v>67</v>
      </c>
      <c r="J89" s="10"/>
      <c r="K89" s="10" t="s">
        <v>68</v>
      </c>
      <c r="L89" s="10" t="s">
        <v>533</v>
      </c>
      <c r="M89" s="10" t="s">
        <v>518</v>
      </c>
      <c r="N89" s="10" t="s">
        <v>534</v>
      </c>
      <c r="O89" s="12" t="s">
        <v>32</v>
      </c>
      <c r="P89" s="12" t="s">
        <v>1896</v>
      </c>
      <c r="Q89" s="12" t="s">
        <v>2022</v>
      </c>
      <c r="R89" s="12" t="s">
        <v>1932</v>
      </c>
      <c r="S89" s="12" t="s">
        <v>1897</v>
      </c>
      <c r="T89" s="12"/>
      <c r="U89" s="12"/>
    </row>
    <row r="90" spans="1:21" ht="104" x14ac:dyDescent="0.35">
      <c r="A90" s="10" t="s">
        <v>535</v>
      </c>
      <c r="B90" s="10" t="s">
        <v>60</v>
      </c>
      <c r="C90" s="10" t="s">
        <v>458</v>
      </c>
      <c r="D90" s="10" t="s">
        <v>512</v>
      </c>
      <c r="E90" s="10" t="s">
        <v>513</v>
      </c>
      <c r="F90" s="10" t="s">
        <v>536</v>
      </c>
      <c r="G90" s="10" t="s">
        <v>537</v>
      </c>
      <c r="H90" s="10" t="s">
        <v>516</v>
      </c>
      <c r="I90" s="10" t="s">
        <v>67</v>
      </c>
      <c r="J90" s="10"/>
      <c r="K90" s="10" t="s">
        <v>113</v>
      </c>
      <c r="L90" s="10" t="s">
        <v>538</v>
      </c>
      <c r="M90" s="10" t="s">
        <v>518</v>
      </c>
      <c r="N90" s="10" t="s">
        <v>539</v>
      </c>
      <c r="O90" s="12" t="s">
        <v>32</v>
      </c>
      <c r="P90" s="12" t="s">
        <v>1896</v>
      </c>
      <c r="Q90" s="12" t="s">
        <v>2023</v>
      </c>
      <c r="R90" s="12" t="s">
        <v>1932</v>
      </c>
      <c r="S90" s="12" t="s">
        <v>1897</v>
      </c>
      <c r="T90" s="12"/>
      <c r="U90" s="12"/>
    </row>
    <row r="91" spans="1:21" ht="130" x14ac:dyDescent="0.35">
      <c r="A91" s="10" t="s">
        <v>540</v>
      </c>
      <c r="B91" s="10" t="s">
        <v>60</v>
      </c>
      <c r="C91" s="10" t="s">
        <v>458</v>
      </c>
      <c r="D91" s="10" t="s">
        <v>512</v>
      </c>
      <c r="E91" s="10" t="s">
        <v>513</v>
      </c>
      <c r="F91" s="10" t="s">
        <v>541</v>
      </c>
      <c r="G91" s="10" t="s">
        <v>542</v>
      </c>
      <c r="H91" s="10" t="s">
        <v>516</v>
      </c>
      <c r="I91" s="10" t="s">
        <v>67</v>
      </c>
      <c r="J91" s="10"/>
      <c r="K91" s="10" t="s">
        <v>254</v>
      </c>
      <c r="L91" s="10" t="s">
        <v>255</v>
      </c>
      <c r="M91" s="10" t="s">
        <v>518</v>
      </c>
      <c r="N91" s="10" t="s">
        <v>543</v>
      </c>
      <c r="O91" s="12" t="s">
        <v>32</v>
      </c>
      <c r="P91" s="12" t="s">
        <v>1896</v>
      </c>
      <c r="Q91" s="12" t="s">
        <v>2024</v>
      </c>
      <c r="R91" s="12" t="s">
        <v>2025</v>
      </c>
      <c r="S91" s="12" t="s">
        <v>1897</v>
      </c>
      <c r="T91" s="12"/>
      <c r="U91" s="12"/>
    </row>
    <row r="92" spans="1:21" ht="104" x14ac:dyDescent="0.35">
      <c r="A92" s="10" t="s">
        <v>544</v>
      </c>
      <c r="B92" s="10" t="s">
        <v>60</v>
      </c>
      <c r="C92" s="10" t="s">
        <v>458</v>
      </c>
      <c r="D92" s="10" t="s">
        <v>512</v>
      </c>
      <c r="E92" s="10" t="s">
        <v>513</v>
      </c>
      <c r="F92" s="10" t="s">
        <v>545</v>
      </c>
      <c r="G92" s="10" t="s">
        <v>546</v>
      </c>
      <c r="H92" s="10" t="s">
        <v>516</v>
      </c>
      <c r="I92" s="10" t="s">
        <v>67</v>
      </c>
      <c r="J92" s="10"/>
      <c r="K92" s="10" t="s">
        <v>113</v>
      </c>
      <c r="L92" s="10" t="s">
        <v>547</v>
      </c>
      <c r="M92" s="10" t="s">
        <v>518</v>
      </c>
      <c r="N92" s="10" t="s">
        <v>548</v>
      </c>
      <c r="O92" s="12" t="s">
        <v>32</v>
      </c>
      <c r="P92" s="12" t="s">
        <v>1896</v>
      </c>
      <c r="Q92" s="12" t="s">
        <v>2026</v>
      </c>
      <c r="R92" s="12" t="s">
        <v>1932</v>
      </c>
      <c r="S92" s="12" t="s">
        <v>1897</v>
      </c>
      <c r="T92" s="12"/>
      <c r="U92" s="12"/>
    </row>
    <row r="93" spans="1:21" ht="104" x14ac:dyDescent="0.35">
      <c r="A93" s="10" t="s">
        <v>549</v>
      </c>
      <c r="B93" s="10" t="s">
        <v>60</v>
      </c>
      <c r="C93" s="10" t="s">
        <v>458</v>
      </c>
      <c r="D93" s="10" t="s">
        <v>512</v>
      </c>
      <c r="E93" s="10" t="s">
        <v>513</v>
      </c>
      <c r="F93" s="10" t="s">
        <v>550</v>
      </c>
      <c r="G93" s="10" t="s">
        <v>551</v>
      </c>
      <c r="H93" s="10" t="s">
        <v>516</v>
      </c>
      <c r="I93" s="10" t="s">
        <v>67</v>
      </c>
      <c r="J93" s="10"/>
      <c r="K93" s="10" t="s">
        <v>113</v>
      </c>
      <c r="L93" s="10" t="s">
        <v>552</v>
      </c>
      <c r="M93" s="10" t="s">
        <v>518</v>
      </c>
      <c r="N93" s="10" t="s">
        <v>553</v>
      </c>
      <c r="O93" s="12" t="s">
        <v>32</v>
      </c>
      <c r="P93" s="12" t="s">
        <v>1896</v>
      </c>
      <c r="Q93" s="12" t="s">
        <v>2027</v>
      </c>
      <c r="R93" s="12" t="s">
        <v>1932</v>
      </c>
      <c r="S93" s="12" t="s">
        <v>1897</v>
      </c>
      <c r="T93" s="12"/>
      <c r="U93" s="12"/>
    </row>
    <row r="94" spans="1:21" ht="104" x14ac:dyDescent="0.35">
      <c r="A94" s="10" t="s">
        <v>554</v>
      </c>
      <c r="B94" s="10" t="s">
        <v>60</v>
      </c>
      <c r="C94" s="10" t="s">
        <v>458</v>
      </c>
      <c r="D94" s="10" t="s">
        <v>512</v>
      </c>
      <c r="E94" s="10" t="s">
        <v>513</v>
      </c>
      <c r="F94" s="10" t="s">
        <v>555</v>
      </c>
      <c r="G94" s="10" t="s">
        <v>556</v>
      </c>
      <c r="H94" s="10" t="s">
        <v>516</v>
      </c>
      <c r="I94" s="10" t="s">
        <v>67</v>
      </c>
      <c r="J94" s="10"/>
      <c r="K94" s="10" t="s">
        <v>113</v>
      </c>
      <c r="L94" s="10" t="s">
        <v>557</v>
      </c>
      <c r="M94" s="10" t="s">
        <v>518</v>
      </c>
      <c r="N94" s="10" t="s">
        <v>558</v>
      </c>
      <c r="O94" s="12" t="s">
        <v>32</v>
      </c>
      <c r="P94" s="12" t="s">
        <v>1896</v>
      </c>
      <c r="Q94" s="12" t="s">
        <v>2028</v>
      </c>
      <c r="R94" s="12" t="s">
        <v>1932</v>
      </c>
      <c r="S94" s="12" t="s">
        <v>1897</v>
      </c>
      <c r="T94" s="12"/>
      <c r="U94" s="12"/>
    </row>
    <row r="95" spans="1:21" ht="130" x14ac:dyDescent="0.35">
      <c r="A95" s="10" t="s">
        <v>559</v>
      </c>
      <c r="B95" s="10" t="s">
        <v>60</v>
      </c>
      <c r="C95" s="10" t="s">
        <v>458</v>
      </c>
      <c r="D95" s="10" t="s">
        <v>512</v>
      </c>
      <c r="E95" s="10" t="s">
        <v>513</v>
      </c>
      <c r="F95" s="10" t="s">
        <v>560</v>
      </c>
      <c r="G95" s="10" t="s">
        <v>561</v>
      </c>
      <c r="H95" s="10" t="s">
        <v>516</v>
      </c>
      <c r="I95" s="10" t="s">
        <v>67</v>
      </c>
      <c r="J95" s="10"/>
      <c r="K95" s="10" t="s">
        <v>254</v>
      </c>
      <c r="L95" s="10" t="s">
        <v>255</v>
      </c>
      <c r="M95" s="10" t="s">
        <v>518</v>
      </c>
      <c r="N95" s="10" t="s">
        <v>562</v>
      </c>
      <c r="O95" s="12" t="s">
        <v>32</v>
      </c>
      <c r="P95" s="12" t="s">
        <v>1896</v>
      </c>
      <c r="Q95" s="12" t="s">
        <v>2029</v>
      </c>
      <c r="R95" s="12" t="s">
        <v>2025</v>
      </c>
      <c r="S95" s="12" t="s">
        <v>1897</v>
      </c>
      <c r="T95" s="12"/>
      <c r="U95" s="12"/>
    </row>
    <row r="96" spans="1:21" ht="104" x14ac:dyDescent="0.35">
      <c r="A96" s="10" t="s">
        <v>563</v>
      </c>
      <c r="B96" s="10" t="s">
        <v>60</v>
      </c>
      <c r="C96" s="10" t="s">
        <v>458</v>
      </c>
      <c r="D96" s="10" t="s">
        <v>512</v>
      </c>
      <c r="E96" s="10" t="s">
        <v>513</v>
      </c>
      <c r="F96" s="10" t="s">
        <v>564</v>
      </c>
      <c r="G96" s="10" t="s">
        <v>565</v>
      </c>
      <c r="H96" s="10" t="s">
        <v>516</v>
      </c>
      <c r="I96" s="10" t="s">
        <v>67</v>
      </c>
      <c r="J96" s="10"/>
      <c r="K96" s="10" t="s">
        <v>113</v>
      </c>
      <c r="L96" s="10" t="s">
        <v>566</v>
      </c>
      <c r="M96" s="10" t="s">
        <v>518</v>
      </c>
      <c r="N96" s="10" t="s">
        <v>567</v>
      </c>
      <c r="O96" s="12" t="s">
        <v>32</v>
      </c>
      <c r="P96" s="12" t="s">
        <v>1896</v>
      </c>
      <c r="Q96" s="12" t="s">
        <v>2030</v>
      </c>
      <c r="R96" s="12" t="s">
        <v>1932</v>
      </c>
      <c r="S96" s="12" t="s">
        <v>1897</v>
      </c>
      <c r="T96" s="12"/>
      <c r="U96" s="12"/>
    </row>
    <row r="97" spans="1:21" ht="104" x14ac:dyDescent="0.35">
      <c r="A97" s="10" t="s">
        <v>568</v>
      </c>
      <c r="B97" s="10" t="s">
        <v>60</v>
      </c>
      <c r="C97" s="10" t="s">
        <v>458</v>
      </c>
      <c r="D97" s="10" t="s">
        <v>512</v>
      </c>
      <c r="E97" s="10" t="s">
        <v>513</v>
      </c>
      <c r="F97" s="10" t="s">
        <v>569</v>
      </c>
      <c r="G97" s="10" t="s">
        <v>570</v>
      </c>
      <c r="H97" s="10" t="s">
        <v>516</v>
      </c>
      <c r="I97" s="10" t="s">
        <v>67</v>
      </c>
      <c r="J97" s="10"/>
      <c r="K97" s="10" t="s">
        <v>113</v>
      </c>
      <c r="L97" s="10" t="s">
        <v>571</v>
      </c>
      <c r="M97" s="10" t="s">
        <v>518</v>
      </c>
      <c r="N97" s="10" t="s">
        <v>572</v>
      </c>
      <c r="O97" s="12" t="s">
        <v>32</v>
      </c>
      <c r="P97" s="12" t="s">
        <v>1896</v>
      </c>
      <c r="Q97" s="12" t="s">
        <v>2031</v>
      </c>
      <c r="R97" s="12" t="s">
        <v>1932</v>
      </c>
      <c r="S97" s="12" t="s">
        <v>1897</v>
      </c>
      <c r="T97" s="12"/>
      <c r="U97" s="12"/>
    </row>
    <row r="98" spans="1:21" ht="130" x14ac:dyDescent="0.35">
      <c r="A98" s="10" t="s">
        <v>573</v>
      </c>
      <c r="B98" s="10" t="s">
        <v>60</v>
      </c>
      <c r="C98" s="10" t="s">
        <v>458</v>
      </c>
      <c r="D98" s="10" t="s">
        <v>512</v>
      </c>
      <c r="E98" s="10" t="s">
        <v>513</v>
      </c>
      <c r="F98" s="10" t="s">
        <v>574</v>
      </c>
      <c r="G98" s="10" t="s">
        <v>575</v>
      </c>
      <c r="H98" s="10" t="s">
        <v>516</v>
      </c>
      <c r="I98" s="10" t="s">
        <v>67</v>
      </c>
      <c r="J98" s="10"/>
      <c r="K98" s="10" t="s">
        <v>254</v>
      </c>
      <c r="L98" s="10" t="s">
        <v>255</v>
      </c>
      <c r="M98" s="10" t="s">
        <v>518</v>
      </c>
      <c r="N98" s="10" t="s">
        <v>576</v>
      </c>
      <c r="O98" s="12" t="s">
        <v>32</v>
      </c>
      <c r="P98" s="12" t="s">
        <v>1896</v>
      </c>
      <c r="Q98" s="12" t="s">
        <v>2032</v>
      </c>
      <c r="R98" s="12" t="s">
        <v>2025</v>
      </c>
      <c r="S98" s="12" t="s">
        <v>1897</v>
      </c>
      <c r="T98" s="12"/>
      <c r="U98" s="12"/>
    </row>
    <row r="99" spans="1:21" ht="104" x14ac:dyDescent="0.35">
      <c r="A99" s="10" t="s">
        <v>577</v>
      </c>
      <c r="B99" s="10" t="s">
        <v>60</v>
      </c>
      <c r="C99" s="10" t="s">
        <v>458</v>
      </c>
      <c r="D99" s="10" t="s">
        <v>512</v>
      </c>
      <c r="E99" s="10" t="s">
        <v>513</v>
      </c>
      <c r="F99" s="10" t="s">
        <v>578</v>
      </c>
      <c r="G99" s="10" t="s">
        <v>579</v>
      </c>
      <c r="H99" s="10" t="s">
        <v>516</v>
      </c>
      <c r="I99" s="10" t="s">
        <v>67</v>
      </c>
      <c r="J99" s="10"/>
      <c r="K99" s="10" t="s">
        <v>113</v>
      </c>
      <c r="L99" s="10" t="s">
        <v>580</v>
      </c>
      <c r="M99" s="10" t="s">
        <v>518</v>
      </c>
      <c r="N99" s="10" t="s">
        <v>581</v>
      </c>
      <c r="O99" s="12" t="s">
        <v>32</v>
      </c>
      <c r="P99" s="12" t="s">
        <v>1896</v>
      </c>
      <c r="Q99" s="12" t="s">
        <v>2033</v>
      </c>
      <c r="R99" s="12" t="s">
        <v>1932</v>
      </c>
      <c r="S99" s="12" t="s">
        <v>1897</v>
      </c>
      <c r="T99" s="12"/>
      <c r="U99" s="12"/>
    </row>
    <row r="100" spans="1:21" ht="104" x14ac:dyDescent="0.35">
      <c r="A100" s="10" t="s">
        <v>582</v>
      </c>
      <c r="B100" s="10" t="s">
        <v>60</v>
      </c>
      <c r="C100" s="10" t="s">
        <v>458</v>
      </c>
      <c r="D100" s="10" t="s">
        <v>583</v>
      </c>
      <c r="E100" s="10" t="s">
        <v>584</v>
      </c>
      <c r="F100" s="10" t="s">
        <v>585</v>
      </c>
      <c r="G100" s="10" t="s">
        <v>586</v>
      </c>
      <c r="H100" s="10" t="s">
        <v>587</v>
      </c>
      <c r="I100" s="10" t="s">
        <v>67</v>
      </c>
      <c r="J100" s="10"/>
      <c r="K100" s="10" t="s">
        <v>113</v>
      </c>
      <c r="L100" s="10" t="s">
        <v>588</v>
      </c>
      <c r="M100" s="10" t="s">
        <v>589</v>
      </c>
      <c r="N100" s="10" t="s">
        <v>590</v>
      </c>
      <c r="O100" s="12" t="s">
        <v>32</v>
      </c>
      <c r="P100" s="12" t="s">
        <v>1896</v>
      </c>
      <c r="Q100" s="12" t="s">
        <v>2034</v>
      </c>
      <c r="R100" s="12" t="s">
        <v>1932</v>
      </c>
      <c r="S100" s="12" t="s">
        <v>1897</v>
      </c>
      <c r="T100" s="12"/>
      <c r="U100" s="12"/>
    </row>
    <row r="101" spans="1:21" ht="104" x14ac:dyDescent="0.35">
      <c r="A101" s="10" t="s">
        <v>591</v>
      </c>
      <c r="B101" s="10" t="s">
        <v>60</v>
      </c>
      <c r="C101" s="10" t="s">
        <v>458</v>
      </c>
      <c r="D101" s="10" t="s">
        <v>583</v>
      </c>
      <c r="E101" s="10" t="s">
        <v>584</v>
      </c>
      <c r="F101" s="10" t="s">
        <v>592</v>
      </c>
      <c r="G101" s="10" t="s">
        <v>593</v>
      </c>
      <c r="H101" s="10" t="s">
        <v>587</v>
      </c>
      <c r="I101" s="10" t="s">
        <v>67</v>
      </c>
      <c r="J101" s="10"/>
      <c r="K101" s="10" t="s">
        <v>113</v>
      </c>
      <c r="L101" s="10" t="s">
        <v>594</v>
      </c>
      <c r="M101" s="10" t="s">
        <v>589</v>
      </c>
      <c r="N101" s="10" t="s">
        <v>595</v>
      </c>
      <c r="O101" s="12" t="s">
        <v>32</v>
      </c>
      <c r="P101" s="12" t="s">
        <v>1896</v>
      </c>
      <c r="Q101" s="12" t="s">
        <v>2035</v>
      </c>
      <c r="R101" s="12" t="s">
        <v>1932</v>
      </c>
      <c r="S101" s="12" t="s">
        <v>1897</v>
      </c>
      <c r="T101" s="12"/>
      <c r="U101" s="12"/>
    </row>
    <row r="102" spans="1:21" ht="104" x14ac:dyDescent="0.35">
      <c r="A102" s="10" t="s">
        <v>596</v>
      </c>
      <c r="B102" s="10" t="s">
        <v>60</v>
      </c>
      <c r="C102" s="10" t="s">
        <v>458</v>
      </c>
      <c r="D102" s="10" t="s">
        <v>583</v>
      </c>
      <c r="E102" s="10" t="s">
        <v>584</v>
      </c>
      <c r="F102" s="10" t="s">
        <v>597</v>
      </c>
      <c r="G102" s="10" t="s">
        <v>598</v>
      </c>
      <c r="H102" s="10" t="s">
        <v>587</v>
      </c>
      <c r="I102" s="10" t="s">
        <v>67</v>
      </c>
      <c r="J102" s="10"/>
      <c r="K102" s="10" t="s">
        <v>113</v>
      </c>
      <c r="L102" s="10" t="s">
        <v>599</v>
      </c>
      <c r="M102" s="10" t="s">
        <v>589</v>
      </c>
      <c r="N102" s="10" t="s">
        <v>600</v>
      </c>
      <c r="O102" s="12" t="s">
        <v>32</v>
      </c>
      <c r="P102" s="12" t="s">
        <v>1896</v>
      </c>
      <c r="Q102" s="12" t="s">
        <v>2036</v>
      </c>
      <c r="R102" s="12" t="s">
        <v>1932</v>
      </c>
      <c r="S102" s="12" t="s">
        <v>1897</v>
      </c>
      <c r="T102" s="12"/>
      <c r="U102" s="12"/>
    </row>
    <row r="103" spans="1:21" ht="104" x14ac:dyDescent="0.35">
      <c r="A103" s="10" t="s">
        <v>601</v>
      </c>
      <c r="B103" s="10" t="s">
        <v>60</v>
      </c>
      <c r="C103" s="10" t="s">
        <v>458</v>
      </c>
      <c r="D103" s="10" t="s">
        <v>583</v>
      </c>
      <c r="E103" s="10" t="s">
        <v>584</v>
      </c>
      <c r="F103" s="10" t="s">
        <v>602</v>
      </c>
      <c r="G103" s="10" t="s">
        <v>603</v>
      </c>
      <c r="H103" s="10" t="s">
        <v>587</v>
      </c>
      <c r="I103" s="10" t="s">
        <v>67</v>
      </c>
      <c r="J103" s="10"/>
      <c r="K103" s="10" t="s">
        <v>113</v>
      </c>
      <c r="L103" s="10" t="s">
        <v>604</v>
      </c>
      <c r="M103" s="10" t="s">
        <v>589</v>
      </c>
      <c r="N103" s="10" t="s">
        <v>605</v>
      </c>
      <c r="O103" s="12" t="s">
        <v>32</v>
      </c>
      <c r="P103" s="12" t="s">
        <v>1896</v>
      </c>
      <c r="Q103" s="12" t="s">
        <v>2037</v>
      </c>
      <c r="R103" s="12" t="s">
        <v>1932</v>
      </c>
      <c r="S103" s="12" t="s">
        <v>1897</v>
      </c>
      <c r="T103" s="12"/>
      <c r="U103" s="12"/>
    </row>
    <row r="104" spans="1:21" ht="104" x14ac:dyDescent="0.35">
      <c r="A104" s="10" t="s">
        <v>606</v>
      </c>
      <c r="B104" s="10" t="s">
        <v>60</v>
      </c>
      <c r="C104" s="10" t="s">
        <v>458</v>
      </c>
      <c r="D104" s="10" t="s">
        <v>583</v>
      </c>
      <c r="E104" s="10" t="s">
        <v>584</v>
      </c>
      <c r="F104" s="10" t="s">
        <v>607</v>
      </c>
      <c r="G104" s="10" t="s">
        <v>608</v>
      </c>
      <c r="H104" s="10" t="s">
        <v>587</v>
      </c>
      <c r="I104" s="10" t="s">
        <v>67</v>
      </c>
      <c r="J104" s="10"/>
      <c r="K104" s="10" t="s">
        <v>113</v>
      </c>
      <c r="L104" s="10" t="s">
        <v>609</v>
      </c>
      <c r="M104" s="10" t="s">
        <v>589</v>
      </c>
      <c r="N104" s="10" t="s">
        <v>610</v>
      </c>
      <c r="O104" s="12" t="s">
        <v>32</v>
      </c>
      <c r="P104" s="12" t="s">
        <v>1896</v>
      </c>
      <c r="Q104" s="12" t="s">
        <v>2038</v>
      </c>
      <c r="R104" s="12" t="s">
        <v>1932</v>
      </c>
      <c r="S104" s="12" t="s">
        <v>1897</v>
      </c>
      <c r="T104" s="12"/>
      <c r="U104" s="12"/>
    </row>
    <row r="105" spans="1:21" ht="104" x14ac:dyDescent="0.35">
      <c r="A105" s="10" t="s">
        <v>611</v>
      </c>
      <c r="B105" s="10" t="s">
        <v>60</v>
      </c>
      <c r="C105" s="10" t="s">
        <v>458</v>
      </c>
      <c r="D105" s="10" t="s">
        <v>583</v>
      </c>
      <c r="E105" s="10" t="s">
        <v>584</v>
      </c>
      <c r="F105" s="10" t="s">
        <v>612</v>
      </c>
      <c r="G105" s="10" t="s">
        <v>613</v>
      </c>
      <c r="H105" s="10" t="s">
        <v>587</v>
      </c>
      <c r="I105" s="10" t="s">
        <v>67</v>
      </c>
      <c r="J105" s="10"/>
      <c r="K105" s="10" t="s">
        <v>113</v>
      </c>
      <c r="L105" s="10" t="s">
        <v>614</v>
      </c>
      <c r="M105" s="10" t="s">
        <v>589</v>
      </c>
      <c r="N105" s="10" t="s">
        <v>615</v>
      </c>
      <c r="O105" s="12" t="s">
        <v>32</v>
      </c>
      <c r="P105" s="12" t="s">
        <v>1896</v>
      </c>
      <c r="Q105" s="12" t="s">
        <v>2039</v>
      </c>
      <c r="R105" s="12" t="s">
        <v>1932</v>
      </c>
      <c r="S105" s="12" t="s">
        <v>1897</v>
      </c>
      <c r="T105" s="12"/>
      <c r="U105" s="12"/>
    </row>
    <row r="106" spans="1:21" ht="104" x14ac:dyDescent="0.35">
      <c r="A106" s="10" t="s">
        <v>616</v>
      </c>
      <c r="B106" s="10" t="s">
        <v>60</v>
      </c>
      <c r="C106" s="10" t="s">
        <v>458</v>
      </c>
      <c r="D106" s="10" t="s">
        <v>583</v>
      </c>
      <c r="E106" s="10" t="s">
        <v>584</v>
      </c>
      <c r="F106" s="10" t="s">
        <v>617</v>
      </c>
      <c r="G106" s="10" t="s">
        <v>618</v>
      </c>
      <c r="H106" s="10" t="s">
        <v>587</v>
      </c>
      <c r="I106" s="10" t="s">
        <v>67</v>
      </c>
      <c r="J106" s="10"/>
      <c r="K106" s="10" t="s">
        <v>113</v>
      </c>
      <c r="L106" s="10" t="s">
        <v>619</v>
      </c>
      <c r="M106" s="10" t="s">
        <v>589</v>
      </c>
      <c r="N106" s="10" t="s">
        <v>620</v>
      </c>
      <c r="O106" s="12" t="s">
        <v>32</v>
      </c>
      <c r="P106" s="12" t="s">
        <v>1896</v>
      </c>
      <c r="Q106" s="12" t="s">
        <v>2040</v>
      </c>
      <c r="R106" s="12" t="s">
        <v>1932</v>
      </c>
      <c r="S106" s="12" t="s">
        <v>1897</v>
      </c>
      <c r="T106" s="12"/>
      <c r="U106" s="12"/>
    </row>
    <row r="107" spans="1:21" ht="104" x14ac:dyDescent="0.35">
      <c r="A107" s="10" t="s">
        <v>621</v>
      </c>
      <c r="B107" s="10" t="s">
        <v>60</v>
      </c>
      <c r="C107" s="10" t="s">
        <v>458</v>
      </c>
      <c r="D107" s="10" t="s">
        <v>583</v>
      </c>
      <c r="E107" s="10" t="s">
        <v>584</v>
      </c>
      <c r="F107" s="10" t="s">
        <v>622</v>
      </c>
      <c r="G107" s="10" t="s">
        <v>623</v>
      </c>
      <c r="H107" s="10" t="s">
        <v>587</v>
      </c>
      <c r="I107" s="10" t="s">
        <v>67</v>
      </c>
      <c r="J107" s="10"/>
      <c r="K107" s="10" t="s">
        <v>113</v>
      </c>
      <c r="L107" s="10" t="s">
        <v>624</v>
      </c>
      <c r="M107" s="10" t="s">
        <v>589</v>
      </c>
      <c r="N107" s="10" t="s">
        <v>625</v>
      </c>
      <c r="O107" s="12" t="s">
        <v>32</v>
      </c>
      <c r="P107" s="12" t="s">
        <v>1896</v>
      </c>
      <c r="Q107" s="12" t="s">
        <v>2041</v>
      </c>
      <c r="R107" s="12" t="s">
        <v>1932</v>
      </c>
      <c r="S107" s="12" t="s">
        <v>1897</v>
      </c>
      <c r="T107" s="12"/>
      <c r="U107" s="12"/>
    </row>
    <row r="108" spans="1:21" ht="104" x14ac:dyDescent="0.35">
      <c r="A108" s="10" t="s">
        <v>626</v>
      </c>
      <c r="B108" s="10" t="s">
        <v>60</v>
      </c>
      <c r="C108" s="10" t="s">
        <v>458</v>
      </c>
      <c r="D108" s="10" t="s">
        <v>583</v>
      </c>
      <c r="E108" s="10" t="s">
        <v>584</v>
      </c>
      <c r="F108" s="10" t="s">
        <v>627</v>
      </c>
      <c r="G108" s="10" t="s">
        <v>628</v>
      </c>
      <c r="H108" s="10" t="s">
        <v>587</v>
      </c>
      <c r="I108" s="10" t="s">
        <v>67</v>
      </c>
      <c r="J108" s="10"/>
      <c r="K108" s="10" t="s">
        <v>68</v>
      </c>
      <c r="L108" s="10" t="s">
        <v>629</v>
      </c>
      <c r="M108" s="10" t="s">
        <v>589</v>
      </c>
      <c r="N108" s="10" t="s">
        <v>630</v>
      </c>
      <c r="O108" s="12" t="s">
        <v>32</v>
      </c>
      <c r="P108" s="12" t="s">
        <v>1896</v>
      </c>
      <c r="Q108" s="12" t="s">
        <v>2042</v>
      </c>
      <c r="R108" s="12" t="s">
        <v>1932</v>
      </c>
      <c r="S108" s="12" t="s">
        <v>1897</v>
      </c>
      <c r="T108" s="12"/>
      <c r="U108" s="12"/>
    </row>
    <row r="109" spans="1:21" ht="143" x14ac:dyDescent="0.35">
      <c r="A109" s="10" t="s">
        <v>631</v>
      </c>
      <c r="B109" s="10" t="s">
        <v>60</v>
      </c>
      <c r="C109" s="10" t="s">
        <v>458</v>
      </c>
      <c r="D109" s="10" t="s">
        <v>632</v>
      </c>
      <c r="E109" s="10" t="s">
        <v>633</v>
      </c>
      <c r="F109" s="10" t="s">
        <v>634</v>
      </c>
      <c r="G109" s="10" t="s">
        <v>635</v>
      </c>
      <c r="H109" s="10" t="s">
        <v>636</v>
      </c>
      <c r="I109" s="10" t="s">
        <v>67</v>
      </c>
      <c r="J109" s="10"/>
      <c r="K109" s="10" t="s">
        <v>113</v>
      </c>
      <c r="L109" s="10" t="s">
        <v>637</v>
      </c>
      <c r="M109" s="10" t="s">
        <v>638</v>
      </c>
      <c r="N109" s="10" t="s">
        <v>639</v>
      </c>
      <c r="O109" s="12" t="s">
        <v>31</v>
      </c>
      <c r="P109" s="12" t="s">
        <v>1898</v>
      </c>
      <c r="Q109" s="12" t="s">
        <v>2043</v>
      </c>
      <c r="R109" s="12" t="s">
        <v>2044</v>
      </c>
      <c r="S109" s="12" t="s">
        <v>1935</v>
      </c>
      <c r="T109" s="12"/>
      <c r="U109" s="12"/>
    </row>
    <row r="110" spans="1:21" ht="130" x14ac:dyDescent="0.35">
      <c r="A110" s="10" t="s">
        <v>640</v>
      </c>
      <c r="B110" s="10" t="s">
        <v>60</v>
      </c>
      <c r="C110" s="10" t="s">
        <v>458</v>
      </c>
      <c r="D110" s="10" t="s">
        <v>632</v>
      </c>
      <c r="E110" s="10" t="s">
        <v>633</v>
      </c>
      <c r="F110" s="10" t="s">
        <v>641</v>
      </c>
      <c r="G110" s="10" t="s">
        <v>642</v>
      </c>
      <c r="H110" s="10" t="s">
        <v>636</v>
      </c>
      <c r="I110" s="10" t="s">
        <v>67</v>
      </c>
      <c r="J110" s="10"/>
      <c r="K110" s="10" t="s">
        <v>113</v>
      </c>
      <c r="L110" s="10" t="s">
        <v>643</v>
      </c>
      <c r="M110" s="10" t="s">
        <v>638</v>
      </c>
      <c r="N110" s="10" t="s">
        <v>644</v>
      </c>
      <c r="O110" s="12" t="s">
        <v>32</v>
      </c>
      <c r="P110" s="12" t="s">
        <v>1896</v>
      </c>
      <c r="Q110" s="12" t="s">
        <v>2045</v>
      </c>
      <c r="R110" s="12" t="s">
        <v>2012</v>
      </c>
      <c r="S110" s="12" t="s">
        <v>1935</v>
      </c>
      <c r="T110" s="12"/>
      <c r="U110" s="12"/>
    </row>
    <row r="111" spans="1:21" ht="130" x14ac:dyDescent="0.35">
      <c r="A111" s="10" t="s">
        <v>645</v>
      </c>
      <c r="B111" s="10" t="s">
        <v>60</v>
      </c>
      <c r="C111" s="10" t="s">
        <v>458</v>
      </c>
      <c r="D111" s="10" t="s">
        <v>632</v>
      </c>
      <c r="E111" s="10" t="s">
        <v>633</v>
      </c>
      <c r="F111" s="10" t="s">
        <v>646</v>
      </c>
      <c r="G111" s="10" t="s">
        <v>647</v>
      </c>
      <c r="H111" s="10" t="s">
        <v>636</v>
      </c>
      <c r="I111" s="10" t="s">
        <v>67</v>
      </c>
      <c r="J111" s="10"/>
      <c r="K111" s="10" t="s">
        <v>113</v>
      </c>
      <c r="L111" s="10" t="s">
        <v>648</v>
      </c>
      <c r="M111" s="10" t="s">
        <v>638</v>
      </c>
      <c r="N111" s="10" t="s">
        <v>649</v>
      </c>
      <c r="O111" s="12" t="s">
        <v>32</v>
      </c>
      <c r="P111" s="12" t="s">
        <v>1896</v>
      </c>
      <c r="Q111" s="12" t="s">
        <v>2046</v>
      </c>
      <c r="R111" s="12" t="s">
        <v>2012</v>
      </c>
      <c r="S111" s="12" t="s">
        <v>1935</v>
      </c>
      <c r="T111" s="12"/>
      <c r="U111" s="12"/>
    </row>
    <row r="112" spans="1:21" ht="91" x14ac:dyDescent="0.35">
      <c r="A112" s="10" t="s">
        <v>650</v>
      </c>
      <c r="B112" s="10" t="s">
        <v>60</v>
      </c>
      <c r="C112" s="10" t="s">
        <v>458</v>
      </c>
      <c r="D112" s="10" t="s">
        <v>651</v>
      </c>
      <c r="E112" s="10" t="s">
        <v>652</v>
      </c>
      <c r="F112" s="10" t="s">
        <v>653</v>
      </c>
      <c r="G112" s="10" t="s">
        <v>654</v>
      </c>
      <c r="H112" s="10" t="s">
        <v>655</v>
      </c>
      <c r="I112" s="10" t="s">
        <v>67</v>
      </c>
      <c r="J112" s="10"/>
      <c r="K112" s="10" t="s">
        <v>113</v>
      </c>
      <c r="L112" s="10" t="s">
        <v>656</v>
      </c>
      <c r="M112" s="10" t="s">
        <v>657</v>
      </c>
      <c r="N112" s="10" t="s">
        <v>658</v>
      </c>
      <c r="O112" s="12" t="s">
        <v>32</v>
      </c>
      <c r="P112" s="12" t="s">
        <v>1896</v>
      </c>
      <c r="Q112" s="12" t="s">
        <v>2047</v>
      </c>
      <c r="R112" s="12" t="s">
        <v>1923</v>
      </c>
      <c r="S112" s="12" t="s">
        <v>1897</v>
      </c>
      <c r="T112" s="12"/>
      <c r="U112" s="12"/>
    </row>
    <row r="113" spans="1:21" ht="91" x14ac:dyDescent="0.35">
      <c r="A113" s="10" t="s">
        <v>659</v>
      </c>
      <c r="B113" s="10" t="s">
        <v>60</v>
      </c>
      <c r="C113" s="10" t="s">
        <v>458</v>
      </c>
      <c r="D113" s="10" t="s">
        <v>651</v>
      </c>
      <c r="E113" s="10" t="s">
        <v>652</v>
      </c>
      <c r="F113" s="10" t="s">
        <v>660</v>
      </c>
      <c r="G113" s="10" t="s">
        <v>661</v>
      </c>
      <c r="H113" s="10" t="s">
        <v>655</v>
      </c>
      <c r="I113" s="10" t="s">
        <v>67</v>
      </c>
      <c r="J113" s="10"/>
      <c r="K113" s="10" t="s">
        <v>113</v>
      </c>
      <c r="L113" s="10" t="s">
        <v>662</v>
      </c>
      <c r="M113" s="10" t="s">
        <v>657</v>
      </c>
      <c r="N113" s="10" t="s">
        <v>663</v>
      </c>
      <c r="O113" s="12" t="s">
        <v>32</v>
      </c>
      <c r="P113" s="12" t="s">
        <v>1896</v>
      </c>
      <c r="Q113" s="12" t="s">
        <v>2048</v>
      </c>
      <c r="R113" s="12" t="s">
        <v>1923</v>
      </c>
      <c r="S113" s="12" t="s">
        <v>1897</v>
      </c>
      <c r="T113" s="12"/>
      <c r="U113" s="12"/>
    </row>
    <row r="114" spans="1:21" ht="130" x14ac:dyDescent="0.35">
      <c r="A114" s="10" t="s">
        <v>664</v>
      </c>
      <c r="B114" s="10" t="s">
        <v>60</v>
      </c>
      <c r="C114" s="10" t="s">
        <v>458</v>
      </c>
      <c r="D114" s="10" t="s">
        <v>651</v>
      </c>
      <c r="E114" s="10" t="s">
        <v>652</v>
      </c>
      <c r="F114" s="10" t="s">
        <v>665</v>
      </c>
      <c r="G114" s="10" t="s">
        <v>666</v>
      </c>
      <c r="H114" s="10" t="s">
        <v>655</v>
      </c>
      <c r="I114" s="10" t="s">
        <v>67</v>
      </c>
      <c r="J114" s="10"/>
      <c r="K114" s="10" t="s">
        <v>254</v>
      </c>
      <c r="L114" s="10" t="s">
        <v>255</v>
      </c>
      <c r="M114" s="10" t="s">
        <v>657</v>
      </c>
      <c r="N114" s="10" t="s">
        <v>667</v>
      </c>
      <c r="O114" s="12" t="s">
        <v>32</v>
      </c>
      <c r="P114" s="12" t="s">
        <v>1896</v>
      </c>
      <c r="Q114" s="12" t="s">
        <v>2049</v>
      </c>
      <c r="R114" s="12" t="s">
        <v>2025</v>
      </c>
      <c r="S114" s="12" t="s">
        <v>1897</v>
      </c>
      <c r="T114" s="12"/>
      <c r="U114" s="12"/>
    </row>
    <row r="115" spans="1:21" ht="91" x14ac:dyDescent="0.35">
      <c r="A115" s="10" t="s">
        <v>668</v>
      </c>
      <c r="B115" s="10" t="s">
        <v>60</v>
      </c>
      <c r="C115" s="10" t="s">
        <v>458</v>
      </c>
      <c r="D115" s="10" t="s">
        <v>651</v>
      </c>
      <c r="E115" s="10" t="s">
        <v>652</v>
      </c>
      <c r="F115" s="10" t="s">
        <v>669</v>
      </c>
      <c r="G115" s="10" t="s">
        <v>670</v>
      </c>
      <c r="H115" s="10" t="s">
        <v>655</v>
      </c>
      <c r="I115" s="10" t="s">
        <v>67</v>
      </c>
      <c r="J115" s="10"/>
      <c r="K115" s="10" t="s">
        <v>113</v>
      </c>
      <c r="L115" s="10" t="s">
        <v>671</v>
      </c>
      <c r="M115" s="10" t="s">
        <v>657</v>
      </c>
      <c r="N115" s="10" t="s">
        <v>672</v>
      </c>
      <c r="O115" s="12" t="s">
        <v>32</v>
      </c>
      <c r="P115" s="12" t="s">
        <v>1896</v>
      </c>
      <c r="Q115" s="12" t="s">
        <v>2050</v>
      </c>
      <c r="R115" s="12" t="s">
        <v>1923</v>
      </c>
      <c r="S115" s="12" t="s">
        <v>1897</v>
      </c>
      <c r="T115" s="12"/>
      <c r="U115" s="12"/>
    </row>
    <row r="116" spans="1:21" ht="91" x14ac:dyDescent="0.35">
      <c r="A116" s="10" t="s">
        <v>673</v>
      </c>
      <c r="B116" s="10" t="s">
        <v>60</v>
      </c>
      <c r="C116" s="10" t="s">
        <v>458</v>
      </c>
      <c r="D116" s="10" t="s">
        <v>651</v>
      </c>
      <c r="E116" s="10" t="s">
        <v>652</v>
      </c>
      <c r="F116" s="10" t="s">
        <v>674</v>
      </c>
      <c r="G116" s="10" t="s">
        <v>675</v>
      </c>
      <c r="H116" s="10" t="s">
        <v>655</v>
      </c>
      <c r="I116" s="10" t="s">
        <v>67</v>
      </c>
      <c r="J116" s="10"/>
      <c r="K116" s="10" t="s">
        <v>113</v>
      </c>
      <c r="L116" s="10" t="s">
        <v>676</v>
      </c>
      <c r="M116" s="10" t="s">
        <v>657</v>
      </c>
      <c r="N116" s="10" t="s">
        <v>677</v>
      </c>
      <c r="O116" s="12" t="s">
        <v>32</v>
      </c>
      <c r="P116" s="12" t="s">
        <v>1896</v>
      </c>
      <c r="Q116" s="12" t="s">
        <v>2051</v>
      </c>
      <c r="R116" s="12" t="s">
        <v>1923</v>
      </c>
      <c r="S116" s="12" t="s">
        <v>1897</v>
      </c>
      <c r="T116" s="12"/>
      <c r="U116" s="12"/>
    </row>
    <row r="117" spans="1:21" ht="91" x14ac:dyDescent="0.35">
      <c r="A117" s="10" t="s">
        <v>678</v>
      </c>
      <c r="B117" s="10" t="s">
        <v>60</v>
      </c>
      <c r="C117" s="10" t="s">
        <v>458</v>
      </c>
      <c r="D117" s="10" t="s">
        <v>651</v>
      </c>
      <c r="E117" s="10" t="s">
        <v>652</v>
      </c>
      <c r="F117" s="10" t="s">
        <v>679</v>
      </c>
      <c r="G117" s="10" t="s">
        <v>680</v>
      </c>
      <c r="H117" s="10" t="s">
        <v>655</v>
      </c>
      <c r="I117" s="10" t="s">
        <v>67</v>
      </c>
      <c r="J117" s="10"/>
      <c r="K117" s="10" t="s">
        <v>113</v>
      </c>
      <c r="L117" s="10" t="s">
        <v>681</v>
      </c>
      <c r="M117" s="10" t="s">
        <v>657</v>
      </c>
      <c r="N117" s="10" t="s">
        <v>682</v>
      </c>
      <c r="O117" s="12" t="s">
        <v>32</v>
      </c>
      <c r="P117" s="12" t="s">
        <v>1896</v>
      </c>
      <c r="Q117" s="12" t="s">
        <v>2052</v>
      </c>
      <c r="R117" s="12" t="s">
        <v>2053</v>
      </c>
      <c r="S117" s="12" t="s">
        <v>1897</v>
      </c>
      <c r="T117" s="12"/>
      <c r="U117" s="12"/>
    </row>
    <row r="118" spans="1:21" ht="91" x14ac:dyDescent="0.35">
      <c r="A118" s="10" t="s">
        <v>683</v>
      </c>
      <c r="B118" s="10" t="s">
        <v>60</v>
      </c>
      <c r="C118" s="10" t="s">
        <v>458</v>
      </c>
      <c r="D118" s="10" t="s">
        <v>651</v>
      </c>
      <c r="E118" s="10" t="s">
        <v>652</v>
      </c>
      <c r="F118" s="10" t="s">
        <v>143</v>
      </c>
      <c r="G118" s="10" t="s">
        <v>684</v>
      </c>
      <c r="H118" s="10" t="s">
        <v>655</v>
      </c>
      <c r="I118" s="10" t="s">
        <v>67</v>
      </c>
      <c r="J118" s="10"/>
      <c r="K118" s="10" t="s">
        <v>113</v>
      </c>
      <c r="L118" s="10" t="s">
        <v>685</v>
      </c>
      <c r="M118" s="10" t="s">
        <v>657</v>
      </c>
      <c r="N118" s="10" t="s">
        <v>686</v>
      </c>
      <c r="O118" s="12" t="s">
        <v>32</v>
      </c>
      <c r="P118" s="12" t="s">
        <v>1896</v>
      </c>
      <c r="Q118" s="12" t="s">
        <v>1940</v>
      </c>
      <c r="R118" s="12" t="s">
        <v>1923</v>
      </c>
      <c r="S118" s="12" t="s">
        <v>1897</v>
      </c>
      <c r="T118" s="12"/>
      <c r="U118" s="12"/>
    </row>
    <row r="119" spans="1:21" ht="91" x14ac:dyDescent="0.35">
      <c r="A119" s="10" t="s">
        <v>687</v>
      </c>
      <c r="B119" s="10" t="s">
        <v>60</v>
      </c>
      <c r="C119" s="10" t="s">
        <v>458</v>
      </c>
      <c r="D119" s="10" t="s">
        <v>651</v>
      </c>
      <c r="E119" s="10" t="s">
        <v>652</v>
      </c>
      <c r="F119" s="10" t="s">
        <v>688</v>
      </c>
      <c r="G119" s="10" t="s">
        <v>689</v>
      </c>
      <c r="H119" s="10" t="s">
        <v>655</v>
      </c>
      <c r="I119" s="10" t="s">
        <v>67</v>
      </c>
      <c r="J119" s="10"/>
      <c r="K119" s="10" t="s">
        <v>68</v>
      </c>
      <c r="L119" s="10" t="s">
        <v>690</v>
      </c>
      <c r="M119" s="10" t="s">
        <v>657</v>
      </c>
      <c r="N119" s="10" t="s">
        <v>691</v>
      </c>
      <c r="O119" s="12" t="s">
        <v>32</v>
      </c>
      <c r="P119" s="12" t="s">
        <v>1896</v>
      </c>
      <c r="Q119" s="12" t="s">
        <v>2054</v>
      </c>
      <c r="R119" s="12" t="s">
        <v>1923</v>
      </c>
      <c r="S119" s="12" t="s">
        <v>1897</v>
      </c>
      <c r="T119" s="12"/>
      <c r="U119" s="12"/>
    </row>
    <row r="120" spans="1:21" ht="91" x14ac:dyDescent="0.35">
      <c r="A120" s="10" t="s">
        <v>692</v>
      </c>
      <c r="B120" s="10" t="s">
        <v>60</v>
      </c>
      <c r="C120" s="10" t="s">
        <v>458</v>
      </c>
      <c r="D120" s="10" t="s">
        <v>693</v>
      </c>
      <c r="E120" s="10" t="s">
        <v>694</v>
      </c>
      <c r="F120" s="10" t="s">
        <v>694</v>
      </c>
      <c r="G120" s="10" t="s">
        <v>695</v>
      </c>
      <c r="H120" s="10" t="s">
        <v>696</v>
      </c>
      <c r="I120" s="10" t="s">
        <v>67</v>
      </c>
      <c r="J120" s="10"/>
      <c r="K120" s="10" t="s">
        <v>68</v>
      </c>
      <c r="L120" s="10" t="s">
        <v>697</v>
      </c>
      <c r="M120" s="10" t="s">
        <v>698</v>
      </c>
      <c r="N120" s="10" t="s">
        <v>699</v>
      </c>
      <c r="O120" s="12" t="s">
        <v>32</v>
      </c>
      <c r="P120" s="12" t="s">
        <v>1896</v>
      </c>
      <c r="Q120" s="12" t="s">
        <v>2055</v>
      </c>
      <c r="R120" s="12" t="s">
        <v>1923</v>
      </c>
      <c r="S120" s="12" t="s">
        <v>1897</v>
      </c>
      <c r="T120" s="12"/>
      <c r="U120" s="12"/>
    </row>
    <row r="121" spans="1:21" ht="91" x14ac:dyDescent="0.35">
      <c r="A121" s="10" t="s">
        <v>700</v>
      </c>
      <c r="B121" s="10" t="s">
        <v>60</v>
      </c>
      <c r="C121" s="10" t="s">
        <v>458</v>
      </c>
      <c r="D121" s="10" t="s">
        <v>693</v>
      </c>
      <c r="E121" s="10" t="s">
        <v>694</v>
      </c>
      <c r="F121" s="10" t="s">
        <v>701</v>
      </c>
      <c r="G121" s="10" t="s">
        <v>702</v>
      </c>
      <c r="H121" s="10" t="s">
        <v>696</v>
      </c>
      <c r="I121" s="10" t="s">
        <v>67</v>
      </c>
      <c r="J121" s="10"/>
      <c r="K121" s="10" t="s">
        <v>113</v>
      </c>
      <c r="L121" s="10" t="s">
        <v>703</v>
      </c>
      <c r="M121" s="10" t="s">
        <v>698</v>
      </c>
      <c r="N121" s="10" t="s">
        <v>704</v>
      </c>
      <c r="O121" s="12" t="s">
        <v>32</v>
      </c>
      <c r="P121" s="12" t="s">
        <v>1896</v>
      </c>
      <c r="Q121" s="12" t="s">
        <v>2056</v>
      </c>
      <c r="R121" s="12" t="s">
        <v>1923</v>
      </c>
      <c r="S121" s="12" t="s">
        <v>1897</v>
      </c>
      <c r="T121" s="12"/>
      <c r="U121" s="12"/>
    </row>
    <row r="122" spans="1:21" ht="91" x14ac:dyDescent="0.35">
      <c r="A122" s="10" t="s">
        <v>705</v>
      </c>
      <c r="B122" s="10" t="s">
        <v>60</v>
      </c>
      <c r="C122" s="10" t="s">
        <v>458</v>
      </c>
      <c r="D122" s="10" t="s">
        <v>693</v>
      </c>
      <c r="E122" s="10" t="s">
        <v>694</v>
      </c>
      <c r="F122" s="10" t="s">
        <v>706</v>
      </c>
      <c r="G122" s="10" t="s">
        <v>707</v>
      </c>
      <c r="H122" s="10" t="s">
        <v>696</v>
      </c>
      <c r="I122" s="10" t="s">
        <v>67</v>
      </c>
      <c r="J122" s="10"/>
      <c r="K122" s="10" t="s">
        <v>68</v>
      </c>
      <c r="L122" s="10" t="s">
        <v>708</v>
      </c>
      <c r="M122" s="10" t="s">
        <v>698</v>
      </c>
      <c r="N122" s="10" t="s">
        <v>709</v>
      </c>
      <c r="O122" s="12" t="s">
        <v>32</v>
      </c>
      <c r="P122" s="12" t="s">
        <v>1896</v>
      </c>
      <c r="Q122" s="12" t="s">
        <v>2057</v>
      </c>
      <c r="R122" s="12" t="s">
        <v>1923</v>
      </c>
      <c r="S122" s="12" t="s">
        <v>1897</v>
      </c>
      <c r="T122" s="12"/>
      <c r="U122" s="12"/>
    </row>
    <row r="123" spans="1:21" ht="91" x14ac:dyDescent="0.35">
      <c r="A123" s="10" t="s">
        <v>710</v>
      </c>
      <c r="B123" s="10" t="s">
        <v>60</v>
      </c>
      <c r="C123" s="10" t="s">
        <v>458</v>
      </c>
      <c r="D123" s="10" t="s">
        <v>693</v>
      </c>
      <c r="E123" s="10" t="s">
        <v>694</v>
      </c>
      <c r="F123" s="10" t="s">
        <v>711</v>
      </c>
      <c r="G123" s="10" t="s">
        <v>712</v>
      </c>
      <c r="H123" s="10" t="s">
        <v>696</v>
      </c>
      <c r="I123" s="10" t="s">
        <v>67</v>
      </c>
      <c r="J123" s="10"/>
      <c r="K123" s="10" t="s">
        <v>113</v>
      </c>
      <c r="L123" s="10" t="s">
        <v>713</v>
      </c>
      <c r="M123" s="10" t="s">
        <v>698</v>
      </c>
      <c r="N123" s="10" t="s">
        <v>714</v>
      </c>
      <c r="O123" s="12" t="s">
        <v>32</v>
      </c>
      <c r="P123" s="12" t="s">
        <v>1896</v>
      </c>
      <c r="Q123" s="12" t="s">
        <v>2058</v>
      </c>
      <c r="R123" s="12" t="s">
        <v>1923</v>
      </c>
      <c r="S123" s="12" t="s">
        <v>1897</v>
      </c>
      <c r="T123" s="12"/>
      <c r="U123" s="12"/>
    </row>
    <row r="124" spans="1:21" ht="91" x14ac:dyDescent="0.35">
      <c r="A124" s="10" t="s">
        <v>715</v>
      </c>
      <c r="B124" s="10" t="s">
        <v>60</v>
      </c>
      <c r="C124" s="10" t="s">
        <v>458</v>
      </c>
      <c r="D124" s="10" t="s">
        <v>716</v>
      </c>
      <c r="E124" s="10" t="s">
        <v>717</v>
      </c>
      <c r="F124" s="10" t="s">
        <v>718</v>
      </c>
      <c r="G124" s="10" t="s">
        <v>719</v>
      </c>
      <c r="H124" s="10" t="s">
        <v>720</v>
      </c>
      <c r="I124" s="10" t="s">
        <v>67</v>
      </c>
      <c r="J124" s="10"/>
      <c r="K124" s="10" t="s">
        <v>113</v>
      </c>
      <c r="L124" s="10" t="s">
        <v>721</v>
      </c>
      <c r="M124" s="10" t="s">
        <v>722</v>
      </c>
      <c r="N124" s="10" t="s">
        <v>723</v>
      </c>
      <c r="O124" s="12" t="s">
        <v>32</v>
      </c>
      <c r="P124" s="12" t="s">
        <v>1896</v>
      </c>
      <c r="Q124" s="12" t="s">
        <v>2059</v>
      </c>
      <c r="R124" s="12" t="s">
        <v>1923</v>
      </c>
      <c r="S124" s="12" t="s">
        <v>1897</v>
      </c>
      <c r="T124" s="12"/>
      <c r="U124" s="12"/>
    </row>
    <row r="125" spans="1:21" ht="91" x14ac:dyDescent="0.35">
      <c r="A125" s="10" t="s">
        <v>724</v>
      </c>
      <c r="B125" s="10" t="s">
        <v>60</v>
      </c>
      <c r="C125" s="10" t="s">
        <v>458</v>
      </c>
      <c r="D125" s="10" t="s">
        <v>716</v>
      </c>
      <c r="E125" s="10" t="s">
        <v>717</v>
      </c>
      <c r="F125" s="10" t="s">
        <v>725</v>
      </c>
      <c r="G125" s="10" t="s">
        <v>726</v>
      </c>
      <c r="H125" s="10" t="s">
        <v>720</v>
      </c>
      <c r="I125" s="10" t="s">
        <v>67</v>
      </c>
      <c r="J125" s="10"/>
      <c r="K125" s="10" t="s">
        <v>113</v>
      </c>
      <c r="L125" s="10" t="s">
        <v>727</v>
      </c>
      <c r="M125" s="10" t="s">
        <v>722</v>
      </c>
      <c r="N125" s="10" t="s">
        <v>728</v>
      </c>
      <c r="O125" s="12" t="s">
        <v>32</v>
      </c>
      <c r="P125" s="12" t="s">
        <v>1896</v>
      </c>
      <c r="Q125" s="12" t="s">
        <v>2060</v>
      </c>
      <c r="R125" s="12" t="s">
        <v>1923</v>
      </c>
      <c r="S125" s="12" t="s">
        <v>1897</v>
      </c>
      <c r="T125" s="12"/>
      <c r="U125" s="12"/>
    </row>
    <row r="126" spans="1:21" ht="91" x14ac:dyDescent="0.35">
      <c r="A126" s="10" t="s">
        <v>729</v>
      </c>
      <c r="B126" s="10" t="s">
        <v>60</v>
      </c>
      <c r="C126" s="10" t="s">
        <v>458</v>
      </c>
      <c r="D126" s="10" t="s">
        <v>716</v>
      </c>
      <c r="E126" s="10" t="s">
        <v>717</v>
      </c>
      <c r="F126" s="10" t="s">
        <v>730</v>
      </c>
      <c r="G126" s="10" t="s">
        <v>731</v>
      </c>
      <c r="H126" s="10" t="s">
        <v>720</v>
      </c>
      <c r="I126" s="10" t="s">
        <v>67</v>
      </c>
      <c r="J126" s="10"/>
      <c r="K126" s="10" t="s">
        <v>113</v>
      </c>
      <c r="L126" s="10" t="s">
        <v>732</v>
      </c>
      <c r="M126" s="10" t="s">
        <v>722</v>
      </c>
      <c r="N126" s="10" t="s">
        <v>733</v>
      </c>
      <c r="O126" s="12" t="s">
        <v>32</v>
      </c>
      <c r="P126" s="12" t="s">
        <v>1896</v>
      </c>
      <c r="Q126" s="12" t="s">
        <v>2061</v>
      </c>
      <c r="R126" s="12" t="s">
        <v>1923</v>
      </c>
      <c r="S126" s="12" t="s">
        <v>1897</v>
      </c>
      <c r="T126" s="12"/>
      <c r="U126" s="12"/>
    </row>
    <row r="127" spans="1:21" ht="91" x14ac:dyDescent="0.35">
      <c r="A127" s="10" t="s">
        <v>734</v>
      </c>
      <c r="B127" s="10" t="s">
        <v>60</v>
      </c>
      <c r="C127" s="10" t="s">
        <v>458</v>
      </c>
      <c r="D127" s="10" t="s">
        <v>716</v>
      </c>
      <c r="E127" s="10" t="s">
        <v>717</v>
      </c>
      <c r="F127" s="10" t="s">
        <v>735</v>
      </c>
      <c r="G127" s="10" t="s">
        <v>736</v>
      </c>
      <c r="H127" s="10" t="s">
        <v>720</v>
      </c>
      <c r="I127" s="10" t="s">
        <v>67</v>
      </c>
      <c r="J127" s="10"/>
      <c r="K127" s="10" t="s">
        <v>113</v>
      </c>
      <c r="L127" s="10" t="s">
        <v>737</v>
      </c>
      <c r="M127" s="10" t="s">
        <v>722</v>
      </c>
      <c r="N127" s="10" t="s">
        <v>738</v>
      </c>
      <c r="O127" s="12" t="s">
        <v>32</v>
      </c>
      <c r="P127" s="12" t="s">
        <v>1896</v>
      </c>
      <c r="Q127" s="12" t="s">
        <v>2062</v>
      </c>
      <c r="R127" s="12" t="s">
        <v>1923</v>
      </c>
      <c r="S127" s="12" t="s">
        <v>1897</v>
      </c>
      <c r="T127" s="12"/>
      <c r="U127" s="12"/>
    </row>
    <row r="128" spans="1:21" ht="91" x14ac:dyDescent="0.35">
      <c r="A128" s="10" t="s">
        <v>739</v>
      </c>
      <c r="B128" s="10" t="s">
        <v>60</v>
      </c>
      <c r="C128" s="10" t="s">
        <v>458</v>
      </c>
      <c r="D128" s="10" t="s">
        <v>716</v>
      </c>
      <c r="E128" s="10" t="s">
        <v>717</v>
      </c>
      <c r="F128" s="10" t="s">
        <v>740</v>
      </c>
      <c r="G128" s="10" t="s">
        <v>741</v>
      </c>
      <c r="H128" s="10" t="s">
        <v>720</v>
      </c>
      <c r="I128" s="10" t="s">
        <v>67</v>
      </c>
      <c r="J128" s="10"/>
      <c r="K128" s="10" t="s">
        <v>68</v>
      </c>
      <c r="L128" s="10" t="s">
        <v>742</v>
      </c>
      <c r="M128" s="10" t="s">
        <v>722</v>
      </c>
      <c r="N128" s="10" t="s">
        <v>743</v>
      </c>
      <c r="O128" s="12" t="s">
        <v>32</v>
      </c>
      <c r="P128" s="12" t="s">
        <v>1896</v>
      </c>
      <c r="Q128" s="12" t="s">
        <v>2063</v>
      </c>
      <c r="R128" s="12" t="s">
        <v>1923</v>
      </c>
      <c r="S128" s="12" t="s">
        <v>1897</v>
      </c>
      <c r="T128" s="12"/>
      <c r="U128" s="12"/>
    </row>
    <row r="129" spans="1:21" ht="91" x14ac:dyDescent="0.35">
      <c r="A129" s="10" t="s">
        <v>744</v>
      </c>
      <c r="B129" s="10" t="s">
        <v>60</v>
      </c>
      <c r="C129" s="10" t="s">
        <v>458</v>
      </c>
      <c r="D129" s="10" t="s">
        <v>716</v>
      </c>
      <c r="E129" s="10" t="s">
        <v>717</v>
      </c>
      <c r="F129" s="10" t="s">
        <v>745</v>
      </c>
      <c r="G129" s="10" t="s">
        <v>746</v>
      </c>
      <c r="H129" s="10" t="s">
        <v>720</v>
      </c>
      <c r="I129" s="10" t="s">
        <v>67</v>
      </c>
      <c r="J129" s="10"/>
      <c r="K129" s="10" t="s">
        <v>68</v>
      </c>
      <c r="L129" s="10" t="s">
        <v>747</v>
      </c>
      <c r="M129" s="10" t="s">
        <v>722</v>
      </c>
      <c r="N129" s="10" t="s">
        <v>748</v>
      </c>
      <c r="O129" s="12" t="s">
        <v>32</v>
      </c>
      <c r="P129" s="12" t="s">
        <v>1896</v>
      </c>
      <c r="Q129" s="12" t="s">
        <v>2064</v>
      </c>
      <c r="R129" s="12" t="s">
        <v>1923</v>
      </c>
      <c r="S129" s="12" t="s">
        <v>1897</v>
      </c>
      <c r="T129" s="12"/>
      <c r="U129" s="12"/>
    </row>
    <row r="130" spans="1:21" ht="104" x14ac:dyDescent="0.35">
      <c r="A130" s="10" t="s">
        <v>749</v>
      </c>
      <c r="B130" s="10" t="s">
        <v>60</v>
      </c>
      <c r="C130" s="10" t="s">
        <v>458</v>
      </c>
      <c r="D130" s="10" t="s">
        <v>750</v>
      </c>
      <c r="E130" s="10" t="s">
        <v>751</v>
      </c>
      <c r="F130" s="10" t="s">
        <v>752</v>
      </c>
      <c r="G130" s="10" t="s">
        <v>753</v>
      </c>
      <c r="H130" s="10" t="s">
        <v>754</v>
      </c>
      <c r="I130" s="10" t="s">
        <v>67</v>
      </c>
      <c r="J130" s="10"/>
      <c r="K130" s="10" t="s">
        <v>68</v>
      </c>
      <c r="L130" s="10" t="s">
        <v>755</v>
      </c>
      <c r="M130" s="10" t="s">
        <v>589</v>
      </c>
      <c r="N130" s="10" t="s">
        <v>756</v>
      </c>
      <c r="O130" s="12" t="s">
        <v>32</v>
      </c>
      <c r="P130" s="12" t="s">
        <v>1896</v>
      </c>
      <c r="Q130" s="12" t="s">
        <v>2065</v>
      </c>
      <c r="R130" s="12" t="s">
        <v>1932</v>
      </c>
      <c r="S130" s="12" t="s">
        <v>1897</v>
      </c>
      <c r="T130" s="12"/>
      <c r="U130" s="12"/>
    </row>
    <row r="131" spans="1:21" ht="104" x14ac:dyDescent="0.35">
      <c r="A131" s="10" t="s">
        <v>757</v>
      </c>
      <c r="B131" s="10" t="s">
        <v>60</v>
      </c>
      <c r="C131" s="10" t="s">
        <v>458</v>
      </c>
      <c r="D131" s="10" t="s">
        <v>750</v>
      </c>
      <c r="E131" s="10" t="s">
        <v>751</v>
      </c>
      <c r="F131" s="10" t="s">
        <v>758</v>
      </c>
      <c r="G131" s="10" t="s">
        <v>759</v>
      </c>
      <c r="H131" s="10" t="s">
        <v>754</v>
      </c>
      <c r="I131" s="10" t="s">
        <v>67</v>
      </c>
      <c r="J131" s="10"/>
      <c r="K131" s="10" t="s">
        <v>113</v>
      </c>
      <c r="L131" s="10" t="s">
        <v>760</v>
      </c>
      <c r="M131" s="10" t="s">
        <v>589</v>
      </c>
      <c r="N131" s="10" t="s">
        <v>761</v>
      </c>
      <c r="O131" s="12" t="s">
        <v>32</v>
      </c>
      <c r="P131" s="12" t="s">
        <v>1896</v>
      </c>
      <c r="Q131" s="12" t="s">
        <v>2066</v>
      </c>
      <c r="R131" s="12" t="s">
        <v>1932</v>
      </c>
      <c r="S131" s="12" t="s">
        <v>1897</v>
      </c>
      <c r="T131" s="12"/>
      <c r="U131" s="12"/>
    </row>
    <row r="132" spans="1:21" ht="104" x14ac:dyDescent="0.35">
      <c r="A132" s="10" t="s">
        <v>762</v>
      </c>
      <c r="B132" s="10" t="s">
        <v>60</v>
      </c>
      <c r="C132" s="10" t="s">
        <v>458</v>
      </c>
      <c r="D132" s="10" t="s">
        <v>750</v>
      </c>
      <c r="E132" s="10" t="s">
        <v>751</v>
      </c>
      <c r="F132" s="10" t="s">
        <v>763</v>
      </c>
      <c r="G132" s="10" t="s">
        <v>764</v>
      </c>
      <c r="H132" s="10" t="s">
        <v>754</v>
      </c>
      <c r="I132" s="10" t="s">
        <v>67</v>
      </c>
      <c r="J132" s="10"/>
      <c r="K132" s="10" t="s">
        <v>68</v>
      </c>
      <c r="L132" s="10" t="s">
        <v>765</v>
      </c>
      <c r="M132" s="10" t="s">
        <v>589</v>
      </c>
      <c r="N132" s="10" t="s">
        <v>766</v>
      </c>
      <c r="O132" s="12" t="s">
        <v>32</v>
      </c>
      <c r="P132" s="12" t="s">
        <v>1896</v>
      </c>
      <c r="Q132" s="12" t="s">
        <v>2067</v>
      </c>
      <c r="R132" s="12" t="s">
        <v>1932</v>
      </c>
      <c r="S132" s="12" t="s">
        <v>1897</v>
      </c>
      <c r="T132" s="12"/>
      <c r="U132" s="12"/>
    </row>
    <row r="133" spans="1:21" ht="104" x14ac:dyDescent="0.35">
      <c r="A133" s="10" t="s">
        <v>767</v>
      </c>
      <c r="B133" s="10" t="s">
        <v>60</v>
      </c>
      <c r="C133" s="10" t="s">
        <v>458</v>
      </c>
      <c r="D133" s="10" t="s">
        <v>750</v>
      </c>
      <c r="E133" s="10" t="s">
        <v>751</v>
      </c>
      <c r="F133" s="10" t="s">
        <v>768</v>
      </c>
      <c r="G133" s="10" t="s">
        <v>769</v>
      </c>
      <c r="H133" s="10" t="s">
        <v>754</v>
      </c>
      <c r="I133" s="10" t="s">
        <v>67</v>
      </c>
      <c r="J133" s="10"/>
      <c r="K133" s="10" t="s">
        <v>113</v>
      </c>
      <c r="L133" s="10" t="s">
        <v>770</v>
      </c>
      <c r="M133" s="10" t="s">
        <v>589</v>
      </c>
      <c r="N133" s="10" t="s">
        <v>771</v>
      </c>
      <c r="O133" s="12" t="s">
        <v>32</v>
      </c>
      <c r="P133" s="12" t="s">
        <v>1896</v>
      </c>
      <c r="Q133" s="12" t="s">
        <v>2068</v>
      </c>
      <c r="R133" s="12" t="s">
        <v>1932</v>
      </c>
      <c r="S133" s="12" t="s">
        <v>1897</v>
      </c>
      <c r="T133" s="12"/>
      <c r="U133" s="12"/>
    </row>
    <row r="134" spans="1:21" ht="104" x14ac:dyDescent="0.35">
      <c r="A134" s="10" t="s">
        <v>772</v>
      </c>
      <c r="B134" s="10" t="s">
        <v>60</v>
      </c>
      <c r="C134" s="10" t="s">
        <v>458</v>
      </c>
      <c r="D134" s="10" t="s">
        <v>750</v>
      </c>
      <c r="E134" s="10" t="s">
        <v>751</v>
      </c>
      <c r="F134" s="10" t="s">
        <v>773</v>
      </c>
      <c r="G134" s="10" t="s">
        <v>774</v>
      </c>
      <c r="H134" s="10" t="s">
        <v>754</v>
      </c>
      <c r="I134" s="10" t="s">
        <v>67</v>
      </c>
      <c r="J134" s="10"/>
      <c r="K134" s="10" t="s">
        <v>68</v>
      </c>
      <c r="L134" s="10" t="s">
        <v>775</v>
      </c>
      <c r="M134" s="10" t="s">
        <v>589</v>
      </c>
      <c r="N134" s="10" t="s">
        <v>776</v>
      </c>
      <c r="O134" s="12" t="s">
        <v>32</v>
      </c>
      <c r="P134" s="12" t="s">
        <v>1896</v>
      </c>
      <c r="Q134" s="12" t="s">
        <v>2069</v>
      </c>
      <c r="R134" s="12" t="s">
        <v>1932</v>
      </c>
      <c r="S134" s="12" t="s">
        <v>1897</v>
      </c>
      <c r="T134" s="12"/>
      <c r="U134" s="12"/>
    </row>
    <row r="135" spans="1:21" ht="104" x14ac:dyDescent="0.35">
      <c r="A135" s="10" t="s">
        <v>777</v>
      </c>
      <c r="B135" s="10" t="s">
        <v>60</v>
      </c>
      <c r="C135" s="10" t="s">
        <v>458</v>
      </c>
      <c r="D135" s="10" t="s">
        <v>750</v>
      </c>
      <c r="E135" s="10" t="s">
        <v>751</v>
      </c>
      <c r="F135" s="10" t="s">
        <v>778</v>
      </c>
      <c r="G135" s="10" t="s">
        <v>779</v>
      </c>
      <c r="H135" s="10" t="s">
        <v>754</v>
      </c>
      <c r="I135" s="10" t="s">
        <v>67</v>
      </c>
      <c r="J135" s="10"/>
      <c r="K135" s="10" t="s">
        <v>113</v>
      </c>
      <c r="L135" s="10" t="s">
        <v>780</v>
      </c>
      <c r="M135" s="10" t="s">
        <v>589</v>
      </c>
      <c r="N135" s="10" t="s">
        <v>781</v>
      </c>
      <c r="O135" s="12" t="s">
        <v>32</v>
      </c>
      <c r="P135" s="12" t="s">
        <v>1896</v>
      </c>
      <c r="Q135" s="12" t="s">
        <v>2070</v>
      </c>
      <c r="R135" s="12" t="s">
        <v>1932</v>
      </c>
      <c r="S135" s="12" t="s">
        <v>1897</v>
      </c>
      <c r="T135" s="12"/>
      <c r="U135" s="12"/>
    </row>
    <row r="136" spans="1:21" ht="104" x14ac:dyDescent="0.35">
      <c r="A136" s="10" t="s">
        <v>782</v>
      </c>
      <c r="B136" s="10" t="s">
        <v>60</v>
      </c>
      <c r="C136" s="10" t="s">
        <v>458</v>
      </c>
      <c r="D136" s="10" t="s">
        <v>783</v>
      </c>
      <c r="E136" s="10" t="s">
        <v>784</v>
      </c>
      <c r="F136" s="10" t="s">
        <v>785</v>
      </c>
      <c r="G136" s="10" t="s">
        <v>786</v>
      </c>
      <c r="H136" s="10" t="s">
        <v>787</v>
      </c>
      <c r="I136" s="10" t="s">
        <v>67</v>
      </c>
      <c r="J136" s="10"/>
      <c r="K136" s="10" t="s">
        <v>113</v>
      </c>
      <c r="L136" s="10" t="s">
        <v>788</v>
      </c>
      <c r="M136" s="10" t="s">
        <v>789</v>
      </c>
      <c r="N136" s="10" t="s">
        <v>790</v>
      </c>
      <c r="O136" s="12" t="s">
        <v>32</v>
      </c>
      <c r="P136" s="12" t="s">
        <v>1896</v>
      </c>
      <c r="Q136" s="12" t="s">
        <v>2071</v>
      </c>
      <c r="R136" s="12" t="s">
        <v>1932</v>
      </c>
      <c r="S136" s="12" t="s">
        <v>1897</v>
      </c>
      <c r="T136" s="12"/>
      <c r="U136" s="12"/>
    </row>
    <row r="137" spans="1:21" ht="104" x14ac:dyDescent="0.35">
      <c r="A137" s="10" t="s">
        <v>791</v>
      </c>
      <c r="B137" s="10" t="s">
        <v>60</v>
      </c>
      <c r="C137" s="10" t="s">
        <v>458</v>
      </c>
      <c r="D137" s="10" t="s">
        <v>783</v>
      </c>
      <c r="E137" s="10" t="s">
        <v>784</v>
      </c>
      <c r="F137" s="10" t="s">
        <v>792</v>
      </c>
      <c r="G137" s="10" t="s">
        <v>793</v>
      </c>
      <c r="H137" s="10" t="s">
        <v>787</v>
      </c>
      <c r="I137" s="10" t="s">
        <v>67</v>
      </c>
      <c r="J137" s="10"/>
      <c r="K137" s="10" t="s">
        <v>113</v>
      </c>
      <c r="L137" s="10" t="s">
        <v>794</v>
      </c>
      <c r="M137" s="10" t="s">
        <v>789</v>
      </c>
      <c r="N137" s="10" t="s">
        <v>795</v>
      </c>
      <c r="O137" s="12" t="s">
        <v>32</v>
      </c>
      <c r="P137" s="12" t="s">
        <v>1896</v>
      </c>
      <c r="Q137" s="12" t="s">
        <v>2072</v>
      </c>
      <c r="R137" s="12" t="s">
        <v>1932</v>
      </c>
      <c r="S137" s="12" t="s">
        <v>1897</v>
      </c>
      <c r="T137" s="12"/>
      <c r="U137" s="12"/>
    </row>
    <row r="138" spans="1:21" ht="91" x14ac:dyDescent="0.35">
      <c r="A138" s="10" t="s">
        <v>796</v>
      </c>
      <c r="B138" s="10" t="s">
        <v>60</v>
      </c>
      <c r="C138" s="10" t="s">
        <v>458</v>
      </c>
      <c r="D138" s="10" t="s">
        <v>783</v>
      </c>
      <c r="E138" s="10" t="s">
        <v>784</v>
      </c>
      <c r="F138" s="10" t="s">
        <v>797</v>
      </c>
      <c r="G138" s="10" t="s">
        <v>798</v>
      </c>
      <c r="H138" s="10" t="s">
        <v>787</v>
      </c>
      <c r="I138" s="10" t="s">
        <v>67</v>
      </c>
      <c r="J138" s="10"/>
      <c r="K138" s="10" t="s">
        <v>113</v>
      </c>
      <c r="L138" s="10" t="s">
        <v>799</v>
      </c>
      <c r="M138" s="10" t="s">
        <v>789</v>
      </c>
      <c r="N138" s="10" t="s">
        <v>800</v>
      </c>
      <c r="O138" s="12" t="s">
        <v>31</v>
      </c>
      <c r="P138" s="12" t="s">
        <v>1898</v>
      </c>
      <c r="Q138" s="12" t="s">
        <v>2073</v>
      </c>
      <c r="R138" s="12" t="s">
        <v>2074</v>
      </c>
      <c r="S138" s="12" t="s">
        <v>1897</v>
      </c>
      <c r="T138" s="12"/>
      <c r="U138" s="12"/>
    </row>
    <row r="139" spans="1:21" ht="91" x14ac:dyDescent="0.35">
      <c r="A139" s="10" t="s">
        <v>801</v>
      </c>
      <c r="B139" s="10" t="s">
        <v>60</v>
      </c>
      <c r="C139" s="10" t="s">
        <v>458</v>
      </c>
      <c r="D139" s="10" t="s">
        <v>783</v>
      </c>
      <c r="E139" s="10" t="s">
        <v>784</v>
      </c>
      <c r="F139" s="10" t="s">
        <v>802</v>
      </c>
      <c r="G139" s="10" t="s">
        <v>803</v>
      </c>
      <c r="H139" s="10" t="s">
        <v>787</v>
      </c>
      <c r="I139" s="10" t="s">
        <v>67</v>
      </c>
      <c r="J139" s="10"/>
      <c r="K139" s="10" t="s">
        <v>68</v>
      </c>
      <c r="L139" s="10" t="s">
        <v>804</v>
      </c>
      <c r="M139" s="10" t="s">
        <v>789</v>
      </c>
      <c r="N139" s="10" t="s">
        <v>805</v>
      </c>
      <c r="O139" s="12" t="s">
        <v>32</v>
      </c>
      <c r="P139" s="12" t="s">
        <v>1896</v>
      </c>
      <c r="Q139" s="12" t="s">
        <v>2075</v>
      </c>
      <c r="R139" s="12" t="s">
        <v>1923</v>
      </c>
      <c r="S139" s="12" t="s">
        <v>1897</v>
      </c>
      <c r="T139" s="12"/>
      <c r="U139" s="12"/>
    </row>
    <row r="140" spans="1:21" ht="104" x14ac:dyDescent="0.35">
      <c r="A140" s="10" t="s">
        <v>806</v>
      </c>
      <c r="B140" s="10" t="s">
        <v>60</v>
      </c>
      <c r="C140" s="10" t="s">
        <v>458</v>
      </c>
      <c r="D140" s="10" t="s">
        <v>783</v>
      </c>
      <c r="E140" s="10" t="s">
        <v>784</v>
      </c>
      <c r="F140" s="10" t="s">
        <v>807</v>
      </c>
      <c r="G140" s="10" t="s">
        <v>808</v>
      </c>
      <c r="H140" s="10" t="s">
        <v>787</v>
      </c>
      <c r="I140" s="10" t="s">
        <v>67</v>
      </c>
      <c r="J140" s="10"/>
      <c r="K140" s="10" t="s">
        <v>113</v>
      </c>
      <c r="L140" s="10" t="s">
        <v>809</v>
      </c>
      <c r="M140" s="10" t="s">
        <v>789</v>
      </c>
      <c r="N140" s="10" t="s">
        <v>810</v>
      </c>
      <c r="O140" s="12" t="s">
        <v>32</v>
      </c>
      <c r="P140" s="12" t="s">
        <v>1896</v>
      </c>
      <c r="Q140" s="12" t="s">
        <v>2076</v>
      </c>
      <c r="R140" s="12" t="s">
        <v>1932</v>
      </c>
      <c r="S140" s="12" t="s">
        <v>1897</v>
      </c>
      <c r="T140" s="12"/>
      <c r="U140" s="12"/>
    </row>
    <row r="141" spans="1:21" ht="91" x14ac:dyDescent="0.35">
      <c r="A141" s="10" t="s">
        <v>811</v>
      </c>
      <c r="B141" s="10" t="s">
        <v>60</v>
      </c>
      <c r="C141" s="10" t="s">
        <v>458</v>
      </c>
      <c r="D141" s="10" t="s">
        <v>812</v>
      </c>
      <c r="E141" s="10" t="s">
        <v>813</v>
      </c>
      <c r="F141" s="10" t="s">
        <v>814</v>
      </c>
      <c r="G141" s="10" t="s">
        <v>815</v>
      </c>
      <c r="H141" s="10" t="s">
        <v>816</v>
      </c>
      <c r="I141" s="10" t="s">
        <v>67</v>
      </c>
      <c r="J141" s="10"/>
      <c r="K141" s="10" t="s">
        <v>68</v>
      </c>
      <c r="L141" s="10" t="s">
        <v>817</v>
      </c>
      <c r="M141" s="10" t="s">
        <v>818</v>
      </c>
      <c r="N141" s="10" t="s">
        <v>819</v>
      </c>
      <c r="O141" s="12" t="s">
        <v>32</v>
      </c>
      <c r="P141" s="12" t="s">
        <v>1896</v>
      </c>
      <c r="Q141" s="12" t="s">
        <v>2077</v>
      </c>
      <c r="R141" s="12" t="s">
        <v>1947</v>
      </c>
      <c r="S141" s="12" t="s">
        <v>1935</v>
      </c>
      <c r="T141" s="12"/>
      <c r="U141" s="12"/>
    </row>
    <row r="142" spans="1:21" ht="117" x14ac:dyDescent="0.35">
      <c r="A142" s="10" t="s">
        <v>820</v>
      </c>
      <c r="B142" s="10" t="s">
        <v>60</v>
      </c>
      <c r="C142" s="10" t="s">
        <v>458</v>
      </c>
      <c r="D142" s="10" t="s">
        <v>812</v>
      </c>
      <c r="E142" s="10" t="s">
        <v>813</v>
      </c>
      <c r="F142" s="10" t="s">
        <v>821</v>
      </c>
      <c r="G142" s="10" t="s">
        <v>822</v>
      </c>
      <c r="H142" s="10" t="s">
        <v>816</v>
      </c>
      <c r="I142" s="10" t="s">
        <v>67</v>
      </c>
      <c r="J142" s="10"/>
      <c r="K142" s="10" t="s">
        <v>254</v>
      </c>
      <c r="L142" s="10" t="s">
        <v>255</v>
      </c>
      <c r="M142" s="10" t="s">
        <v>818</v>
      </c>
      <c r="N142" s="10" t="s">
        <v>823</v>
      </c>
      <c r="O142" s="12" t="s">
        <v>32</v>
      </c>
      <c r="P142" s="12" t="s">
        <v>1896</v>
      </c>
      <c r="Q142" s="12" t="s">
        <v>2078</v>
      </c>
      <c r="R142" s="12" t="s">
        <v>2079</v>
      </c>
      <c r="S142" s="12" t="s">
        <v>1935</v>
      </c>
      <c r="T142" s="12"/>
      <c r="U142" s="12"/>
    </row>
    <row r="143" spans="1:21" ht="91" x14ac:dyDescent="0.35">
      <c r="A143" s="10" t="s">
        <v>824</v>
      </c>
      <c r="B143" s="10" t="s">
        <v>60</v>
      </c>
      <c r="C143" s="10" t="s">
        <v>825</v>
      </c>
      <c r="D143" s="10" t="s">
        <v>826</v>
      </c>
      <c r="E143" s="10" t="s">
        <v>827</v>
      </c>
      <c r="F143" s="10" t="s">
        <v>828</v>
      </c>
      <c r="G143" s="10" t="s">
        <v>829</v>
      </c>
      <c r="H143" s="10" t="s">
        <v>830</v>
      </c>
      <c r="I143" s="10" t="s">
        <v>67</v>
      </c>
      <c r="J143" s="10"/>
      <c r="K143" s="10" t="s">
        <v>68</v>
      </c>
      <c r="L143" s="10" t="s">
        <v>831</v>
      </c>
      <c r="M143" s="10" t="s">
        <v>832</v>
      </c>
      <c r="N143" s="10" t="s">
        <v>833</v>
      </c>
      <c r="O143" s="12" t="s">
        <v>32</v>
      </c>
      <c r="P143" s="12" t="s">
        <v>1896</v>
      </c>
      <c r="Q143" s="12" t="s">
        <v>2080</v>
      </c>
      <c r="R143" s="12" t="s">
        <v>1923</v>
      </c>
      <c r="S143" s="12" t="s">
        <v>1897</v>
      </c>
      <c r="T143" s="12"/>
      <c r="U143" s="12"/>
    </row>
    <row r="144" spans="1:21" ht="91" x14ac:dyDescent="0.35">
      <c r="A144" s="10" t="s">
        <v>834</v>
      </c>
      <c r="B144" s="10" t="s">
        <v>60</v>
      </c>
      <c r="C144" s="10" t="s">
        <v>825</v>
      </c>
      <c r="D144" s="10" t="s">
        <v>826</v>
      </c>
      <c r="E144" s="10" t="s">
        <v>827</v>
      </c>
      <c r="F144" s="10" t="s">
        <v>835</v>
      </c>
      <c r="G144" s="10" t="s">
        <v>836</v>
      </c>
      <c r="H144" s="10" t="s">
        <v>830</v>
      </c>
      <c r="I144" s="10" t="s">
        <v>67</v>
      </c>
      <c r="J144" s="10"/>
      <c r="K144" s="10" t="s">
        <v>68</v>
      </c>
      <c r="L144" s="10" t="s">
        <v>837</v>
      </c>
      <c r="M144" s="10" t="s">
        <v>832</v>
      </c>
      <c r="N144" s="10" t="s">
        <v>838</v>
      </c>
      <c r="O144" s="12" t="s">
        <v>32</v>
      </c>
      <c r="P144" s="12" t="s">
        <v>1896</v>
      </c>
      <c r="Q144" s="12" t="s">
        <v>2081</v>
      </c>
      <c r="R144" s="12" t="s">
        <v>1923</v>
      </c>
      <c r="S144" s="12" t="s">
        <v>1897</v>
      </c>
      <c r="T144" s="12"/>
      <c r="U144" s="12"/>
    </row>
    <row r="145" spans="1:21" ht="91" x14ac:dyDescent="0.35">
      <c r="A145" s="10" t="s">
        <v>839</v>
      </c>
      <c r="B145" s="10" t="s">
        <v>60</v>
      </c>
      <c r="C145" s="10" t="s">
        <v>825</v>
      </c>
      <c r="D145" s="10" t="s">
        <v>840</v>
      </c>
      <c r="E145" s="10" t="s">
        <v>841</v>
      </c>
      <c r="F145" s="10" t="s">
        <v>842</v>
      </c>
      <c r="G145" s="10" t="s">
        <v>843</v>
      </c>
      <c r="H145" s="10" t="s">
        <v>844</v>
      </c>
      <c r="I145" s="10" t="s">
        <v>67</v>
      </c>
      <c r="J145" s="10" t="s">
        <v>845</v>
      </c>
      <c r="K145" s="10" t="s">
        <v>254</v>
      </c>
      <c r="L145" s="10" t="s">
        <v>255</v>
      </c>
      <c r="M145" s="10" t="s">
        <v>846</v>
      </c>
      <c r="N145" s="10" t="s">
        <v>847</v>
      </c>
      <c r="O145" s="12" t="s">
        <v>32</v>
      </c>
      <c r="P145" s="12" t="s">
        <v>1896</v>
      </c>
      <c r="Q145" s="12" t="s">
        <v>2082</v>
      </c>
      <c r="R145" s="12" t="s">
        <v>1977</v>
      </c>
      <c r="S145" s="12" t="s">
        <v>1897</v>
      </c>
      <c r="T145" s="12"/>
      <c r="U145" s="12"/>
    </row>
    <row r="146" spans="1:21" ht="91" x14ac:dyDescent="0.35">
      <c r="A146" s="10" t="s">
        <v>848</v>
      </c>
      <c r="B146" s="10" t="s">
        <v>60</v>
      </c>
      <c r="C146" s="10" t="s">
        <v>825</v>
      </c>
      <c r="D146" s="10" t="s">
        <v>840</v>
      </c>
      <c r="E146" s="10" t="s">
        <v>841</v>
      </c>
      <c r="F146" s="10" t="s">
        <v>849</v>
      </c>
      <c r="G146" s="10" t="s">
        <v>850</v>
      </c>
      <c r="H146" s="10" t="s">
        <v>844</v>
      </c>
      <c r="I146" s="10" t="s">
        <v>67</v>
      </c>
      <c r="J146" s="10" t="s">
        <v>845</v>
      </c>
      <c r="K146" s="10" t="s">
        <v>254</v>
      </c>
      <c r="L146" s="10" t="s">
        <v>255</v>
      </c>
      <c r="M146" s="10" t="s">
        <v>846</v>
      </c>
      <c r="N146" s="10" t="s">
        <v>851</v>
      </c>
      <c r="O146" s="12" t="s">
        <v>32</v>
      </c>
      <c r="P146" s="12" t="s">
        <v>1896</v>
      </c>
      <c r="Q146" s="12" t="s">
        <v>2083</v>
      </c>
      <c r="R146" s="12" t="s">
        <v>1977</v>
      </c>
      <c r="S146" s="12" t="s">
        <v>1897</v>
      </c>
      <c r="T146" s="12"/>
      <c r="U146" s="12"/>
    </row>
    <row r="147" spans="1:21" ht="91" x14ac:dyDescent="0.35">
      <c r="A147" s="10" t="s">
        <v>852</v>
      </c>
      <c r="B147" s="10" t="s">
        <v>60</v>
      </c>
      <c r="C147" s="10" t="s">
        <v>825</v>
      </c>
      <c r="D147" s="10" t="s">
        <v>840</v>
      </c>
      <c r="E147" s="10" t="s">
        <v>841</v>
      </c>
      <c r="F147" s="10" t="s">
        <v>853</v>
      </c>
      <c r="G147" s="10" t="s">
        <v>854</v>
      </c>
      <c r="H147" s="10" t="s">
        <v>844</v>
      </c>
      <c r="I147" s="10" t="s">
        <v>67</v>
      </c>
      <c r="J147" s="10" t="s">
        <v>845</v>
      </c>
      <c r="K147" s="10" t="s">
        <v>68</v>
      </c>
      <c r="L147" s="10" t="s">
        <v>855</v>
      </c>
      <c r="M147" s="10" t="s">
        <v>846</v>
      </c>
      <c r="N147" s="10" t="s">
        <v>856</v>
      </c>
      <c r="O147" s="12" t="s">
        <v>32</v>
      </c>
      <c r="P147" s="12" t="s">
        <v>1896</v>
      </c>
      <c r="Q147" s="12" t="s">
        <v>2084</v>
      </c>
      <c r="R147" s="12" t="s">
        <v>1923</v>
      </c>
      <c r="S147" s="12" t="s">
        <v>1897</v>
      </c>
      <c r="T147" s="12"/>
      <c r="U147" s="12"/>
    </row>
    <row r="148" spans="1:21" ht="91" x14ac:dyDescent="0.35">
      <c r="A148" s="10" t="s">
        <v>857</v>
      </c>
      <c r="B148" s="10" t="s">
        <v>60</v>
      </c>
      <c r="C148" s="10" t="s">
        <v>825</v>
      </c>
      <c r="D148" s="10" t="s">
        <v>858</v>
      </c>
      <c r="E148" s="10" t="s">
        <v>859</v>
      </c>
      <c r="F148" s="10" t="s">
        <v>860</v>
      </c>
      <c r="G148" s="10" t="s">
        <v>861</v>
      </c>
      <c r="H148" s="10" t="s">
        <v>862</v>
      </c>
      <c r="I148" s="10" t="s">
        <v>67</v>
      </c>
      <c r="J148" s="10"/>
      <c r="K148" s="10" t="s">
        <v>68</v>
      </c>
      <c r="L148" s="10" t="s">
        <v>863</v>
      </c>
      <c r="M148" s="10" t="s">
        <v>864</v>
      </c>
      <c r="N148" s="10" t="s">
        <v>865</v>
      </c>
      <c r="O148" s="12" t="s">
        <v>32</v>
      </c>
      <c r="P148" s="12" t="s">
        <v>1896</v>
      </c>
      <c r="Q148" s="12" t="s">
        <v>2085</v>
      </c>
      <c r="R148" s="12" t="s">
        <v>1923</v>
      </c>
      <c r="S148" s="12" t="s">
        <v>1897</v>
      </c>
      <c r="T148" s="12"/>
      <c r="U148" s="12"/>
    </row>
    <row r="149" spans="1:21" ht="91" x14ac:dyDescent="0.35">
      <c r="A149" s="10" t="s">
        <v>866</v>
      </c>
      <c r="B149" s="10" t="s">
        <v>60</v>
      </c>
      <c r="C149" s="10" t="s">
        <v>825</v>
      </c>
      <c r="D149" s="10" t="s">
        <v>858</v>
      </c>
      <c r="E149" s="10" t="s">
        <v>859</v>
      </c>
      <c r="F149" s="10" t="s">
        <v>867</v>
      </c>
      <c r="G149" s="10" t="s">
        <v>868</v>
      </c>
      <c r="H149" s="10" t="s">
        <v>862</v>
      </c>
      <c r="I149" s="10" t="s">
        <v>67</v>
      </c>
      <c r="J149" s="10"/>
      <c r="K149" s="10" t="s">
        <v>68</v>
      </c>
      <c r="L149" s="10" t="s">
        <v>869</v>
      </c>
      <c r="M149" s="10" t="s">
        <v>864</v>
      </c>
      <c r="N149" s="10" t="s">
        <v>870</v>
      </c>
      <c r="O149" s="12" t="s">
        <v>32</v>
      </c>
      <c r="P149" s="12" t="s">
        <v>1896</v>
      </c>
      <c r="Q149" s="12" t="s">
        <v>2086</v>
      </c>
      <c r="R149" s="12" t="s">
        <v>1923</v>
      </c>
      <c r="S149" s="12" t="s">
        <v>1897</v>
      </c>
      <c r="T149" s="12"/>
      <c r="U149" s="12"/>
    </row>
    <row r="150" spans="1:21" ht="91" x14ac:dyDescent="0.35">
      <c r="A150" s="10" t="s">
        <v>871</v>
      </c>
      <c r="B150" s="10" t="s">
        <v>60</v>
      </c>
      <c r="C150" s="10" t="s">
        <v>61</v>
      </c>
      <c r="D150" s="10" t="s">
        <v>858</v>
      </c>
      <c r="E150" s="10" t="s">
        <v>859</v>
      </c>
      <c r="F150" s="10" t="s">
        <v>872</v>
      </c>
      <c r="G150" s="10" t="s">
        <v>873</v>
      </c>
      <c r="H150" s="10" t="s">
        <v>862</v>
      </c>
      <c r="I150" s="10" t="s">
        <v>67</v>
      </c>
      <c r="J150" s="10"/>
      <c r="K150" s="10" t="s">
        <v>68</v>
      </c>
      <c r="L150" s="10" t="s">
        <v>874</v>
      </c>
      <c r="M150" s="10" t="s">
        <v>864</v>
      </c>
      <c r="N150" s="10" t="s">
        <v>875</v>
      </c>
      <c r="O150" s="12" t="s">
        <v>32</v>
      </c>
      <c r="P150" s="12" t="s">
        <v>1896</v>
      </c>
      <c r="Q150" s="12" t="s">
        <v>2087</v>
      </c>
      <c r="R150" s="12" t="s">
        <v>1923</v>
      </c>
      <c r="S150" s="12" t="s">
        <v>1897</v>
      </c>
      <c r="T150" s="12"/>
      <c r="U150" s="12"/>
    </row>
    <row r="151" spans="1:21" ht="91" x14ac:dyDescent="0.35">
      <c r="A151" s="10" t="s">
        <v>876</v>
      </c>
      <c r="B151" s="10" t="s">
        <v>60</v>
      </c>
      <c r="C151" s="10" t="s">
        <v>825</v>
      </c>
      <c r="D151" s="10" t="s">
        <v>858</v>
      </c>
      <c r="E151" s="10" t="s">
        <v>859</v>
      </c>
      <c r="F151" s="10" t="s">
        <v>877</v>
      </c>
      <c r="G151" s="10" t="s">
        <v>878</v>
      </c>
      <c r="H151" s="10" t="s">
        <v>862</v>
      </c>
      <c r="I151" s="10" t="s">
        <v>67</v>
      </c>
      <c r="J151" s="10"/>
      <c r="K151" s="10" t="s">
        <v>68</v>
      </c>
      <c r="L151" s="10" t="s">
        <v>879</v>
      </c>
      <c r="M151" s="10" t="s">
        <v>864</v>
      </c>
      <c r="N151" s="10" t="s">
        <v>880</v>
      </c>
      <c r="O151" s="12" t="s">
        <v>32</v>
      </c>
      <c r="P151" s="12" t="s">
        <v>1896</v>
      </c>
      <c r="Q151" s="12" t="s">
        <v>2088</v>
      </c>
      <c r="R151" s="12" t="s">
        <v>1923</v>
      </c>
      <c r="S151" s="12" t="s">
        <v>1897</v>
      </c>
      <c r="T151" s="12"/>
      <c r="U151" s="12"/>
    </row>
    <row r="152" spans="1:21" ht="91" x14ac:dyDescent="0.35">
      <c r="A152" s="10" t="s">
        <v>881</v>
      </c>
      <c r="B152" s="10" t="s">
        <v>60</v>
      </c>
      <c r="C152" s="10" t="s">
        <v>825</v>
      </c>
      <c r="D152" s="10" t="s">
        <v>858</v>
      </c>
      <c r="E152" s="10" t="s">
        <v>859</v>
      </c>
      <c r="F152" s="10" t="s">
        <v>882</v>
      </c>
      <c r="G152" s="10" t="s">
        <v>883</v>
      </c>
      <c r="H152" s="10" t="s">
        <v>862</v>
      </c>
      <c r="I152" s="10" t="s">
        <v>67</v>
      </c>
      <c r="J152" s="10"/>
      <c r="K152" s="10" t="s">
        <v>68</v>
      </c>
      <c r="L152" s="10" t="s">
        <v>884</v>
      </c>
      <c r="M152" s="10" t="s">
        <v>864</v>
      </c>
      <c r="N152" s="10" t="s">
        <v>885</v>
      </c>
      <c r="O152" s="12" t="s">
        <v>32</v>
      </c>
      <c r="P152" s="12" t="s">
        <v>1896</v>
      </c>
      <c r="Q152" s="12" t="s">
        <v>2089</v>
      </c>
      <c r="R152" s="12" t="s">
        <v>1923</v>
      </c>
      <c r="S152" s="12" t="s">
        <v>1897</v>
      </c>
      <c r="T152" s="12"/>
      <c r="U152" s="12"/>
    </row>
    <row r="153" spans="1:21" ht="91" x14ac:dyDescent="0.35">
      <c r="A153" s="10" t="s">
        <v>886</v>
      </c>
      <c r="B153" s="10" t="s">
        <v>60</v>
      </c>
      <c r="C153" s="10" t="s">
        <v>825</v>
      </c>
      <c r="D153" s="10" t="s">
        <v>858</v>
      </c>
      <c r="E153" s="10" t="s">
        <v>859</v>
      </c>
      <c r="F153" s="10" t="s">
        <v>887</v>
      </c>
      <c r="G153" s="10" t="s">
        <v>888</v>
      </c>
      <c r="H153" s="10" t="s">
        <v>862</v>
      </c>
      <c r="I153" s="10" t="s">
        <v>67</v>
      </c>
      <c r="J153" s="10"/>
      <c r="K153" s="10" t="s">
        <v>68</v>
      </c>
      <c r="L153" s="10" t="s">
        <v>889</v>
      </c>
      <c r="M153" s="10" t="s">
        <v>864</v>
      </c>
      <c r="N153" s="10" t="s">
        <v>890</v>
      </c>
      <c r="O153" s="12" t="s">
        <v>32</v>
      </c>
      <c r="P153" s="12" t="s">
        <v>1896</v>
      </c>
      <c r="Q153" s="12" t="s">
        <v>2090</v>
      </c>
      <c r="R153" s="12" t="s">
        <v>1923</v>
      </c>
      <c r="S153" s="12" t="s">
        <v>1897</v>
      </c>
      <c r="T153" s="12"/>
      <c r="U153" s="12"/>
    </row>
    <row r="154" spans="1:21" ht="91" x14ac:dyDescent="0.35">
      <c r="A154" s="10" t="s">
        <v>891</v>
      </c>
      <c r="B154" s="10" t="s">
        <v>60</v>
      </c>
      <c r="C154" s="10" t="s">
        <v>825</v>
      </c>
      <c r="D154" s="10" t="s">
        <v>858</v>
      </c>
      <c r="E154" s="10" t="s">
        <v>859</v>
      </c>
      <c r="F154" s="10" t="s">
        <v>892</v>
      </c>
      <c r="G154" s="10" t="s">
        <v>893</v>
      </c>
      <c r="H154" s="10" t="s">
        <v>862</v>
      </c>
      <c r="I154" s="10" t="s">
        <v>67</v>
      </c>
      <c r="J154" s="10"/>
      <c r="K154" s="10" t="s">
        <v>68</v>
      </c>
      <c r="L154" s="10" t="s">
        <v>894</v>
      </c>
      <c r="M154" s="10" t="s">
        <v>864</v>
      </c>
      <c r="N154" s="10" t="s">
        <v>895</v>
      </c>
      <c r="O154" s="12" t="s">
        <v>32</v>
      </c>
      <c r="P154" s="12" t="s">
        <v>1896</v>
      </c>
      <c r="Q154" s="12" t="s">
        <v>2091</v>
      </c>
      <c r="R154" s="12" t="s">
        <v>1923</v>
      </c>
      <c r="S154" s="12" t="s">
        <v>1897</v>
      </c>
      <c r="T154" s="12"/>
      <c r="U154" s="12"/>
    </row>
    <row r="155" spans="1:21" ht="91" x14ac:dyDescent="0.35">
      <c r="A155" s="10" t="s">
        <v>896</v>
      </c>
      <c r="B155" s="10" t="s">
        <v>60</v>
      </c>
      <c r="C155" s="10" t="s">
        <v>61</v>
      </c>
      <c r="D155" s="10" t="s">
        <v>858</v>
      </c>
      <c r="E155" s="10" t="s">
        <v>859</v>
      </c>
      <c r="F155" s="10" t="s">
        <v>897</v>
      </c>
      <c r="G155" s="10" t="s">
        <v>898</v>
      </c>
      <c r="H155" s="10" t="s">
        <v>862</v>
      </c>
      <c r="I155" s="10" t="s">
        <v>67</v>
      </c>
      <c r="J155" s="10"/>
      <c r="K155" s="10" t="s">
        <v>113</v>
      </c>
      <c r="L155" s="10" t="s">
        <v>899</v>
      </c>
      <c r="M155" s="10" t="s">
        <v>864</v>
      </c>
      <c r="N155" s="10" t="s">
        <v>900</v>
      </c>
      <c r="O155" s="12" t="s">
        <v>32</v>
      </c>
      <c r="P155" s="12" t="s">
        <v>1896</v>
      </c>
      <c r="Q155" s="12" t="s">
        <v>2092</v>
      </c>
      <c r="R155" s="12" t="s">
        <v>1923</v>
      </c>
      <c r="S155" s="12" t="s">
        <v>1897</v>
      </c>
      <c r="T155" s="12"/>
      <c r="U155" s="12"/>
    </row>
    <row r="156" spans="1:21" ht="117" x14ac:dyDescent="0.35">
      <c r="A156" s="10" t="s">
        <v>901</v>
      </c>
      <c r="B156" s="10" t="s">
        <v>60</v>
      </c>
      <c r="C156" s="10" t="s">
        <v>825</v>
      </c>
      <c r="D156" s="10" t="s">
        <v>902</v>
      </c>
      <c r="E156" s="10" t="s">
        <v>903</v>
      </c>
      <c r="F156" s="10" t="s">
        <v>904</v>
      </c>
      <c r="G156" s="10" t="s">
        <v>905</v>
      </c>
      <c r="H156" s="10" t="s">
        <v>906</v>
      </c>
      <c r="I156" s="10" t="s">
        <v>67</v>
      </c>
      <c r="J156" s="10" t="s">
        <v>845</v>
      </c>
      <c r="K156" s="10" t="s">
        <v>254</v>
      </c>
      <c r="L156" s="10" t="s">
        <v>255</v>
      </c>
      <c r="M156" s="10" t="s">
        <v>907</v>
      </c>
      <c r="N156" s="10" t="s">
        <v>908</v>
      </c>
      <c r="O156" s="12" t="s">
        <v>32</v>
      </c>
      <c r="P156" s="12" t="s">
        <v>1896</v>
      </c>
      <c r="Q156" s="12" t="s">
        <v>2093</v>
      </c>
      <c r="R156" s="12" t="s">
        <v>2079</v>
      </c>
      <c r="S156" s="12" t="s">
        <v>1935</v>
      </c>
      <c r="T156" s="12"/>
      <c r="U156" s="12"/>
    </row>
    <row r="157" spans="1:21" ht="117" x14ac:dyDescent="0.35">
      <c r="A157" s="10" t="s">
        <v>909</v>
      </c>
      <c r="B157" s="10" t="s">
        <v>60</v>
      </c>
      <c r="C157" s="10" t="s">
        <v>825</v>
      </c>
      <c r="D157" s="10" t="s">
        <v>902</v>
      </c>
      <c r="E157" s="10" t="s">
        <v>903</v>
      </c>
      <c r="F157" s="10" t="s">
        <v>910</v>
      </c>
      <c r="G157" s="10" t="s">
        <v>911</v>
      </c>
      <c r="H157" s="10" t="s">
        <v>906</v>
      </c>
      <c r="I157" s="10" t="s">
        <v>67</v>
      </c>
      <c r="J157" s="10" t="s">
        <v>845</v>
      </c>
      <c r="K157" s="10" t="s">
        <v>254</v>
      </c>
      <c r="L157" s="10" t="s">
        <v>255</v>
      </c>
      <c r="M157" s="10" t="s">
        <v>907</v>
      </c>
      <c r="N157" s="10" t="s">
        <v>912</v>
      </c>
      <c r="O157" s="12" t="s">
        <v>32</v>
      </c>
      <c r="P157" s="12" t="s">
        <v>1896</v>
      </c>
      <c r="Q157" s="12" t="s">
        <v>2094</v>
      </c>
      <c r="R157" s="12" t="s">
        <v>2079</v>
      </c>
      <c r="S157" s="12" t="s">
        <v>1935</v>
      </c>
      <c r="T157" s="12"/>
      <c r="U157" s="12"/>
    </row>
    <row r="158" spans="1:21" ht="91" x14ac:dyDescent="0.35">
      <c r="A158" s="10" t="s">
        <v>913</v>
      </c>
      <c r="B158" s="10" t="s">
        <v>60</v>
      </c>
      <c r="C158" s="10" t="s">
        <v>825</v>
      </c>
      <c r="D158" s="10" t="s">
        <v>902</v>
      </c>
      <c r="E158" s="10" t="s">
        <v>903</v>
      </c>
      <c r="F158" s="10" t="s">
        <v>914</v>
      </c>
      <c r="G158" s="10" t="s">
        <v>915</v>
      </c>
      <c r="H158" s="10" t="s">
        <v>906</v>
      </c>
      <c r="I158" s="10" t="s">
        <v>67</v>
      </c>
      <c r="J158" s="10"/>
      <c r="K158" s="10" t="s">
        <v>68</v>
      </c>
      <c r="L158" s="10" t="s">
        <v>916</v>
      </c>
      <c r="M158" s="10" t="s">
        <v>907</v>
      </c>
      <c r="N158" s="10" t="s">
        <v>917</v>
      </c>
      <c r="O158" s="12" t="s">
        <v>32</v>
      </c>
      <c r="P158" s="12" t="s">
        <v>1896</v>
      </c>
      <c r="Q158" s="12" t="s">
        <v>2095</v>
      </c>
      <c r="R158" s="12" t="s">
        <v>1947</v>
      </c>
      <c r="S158" s="12" t="s">
        <v>1935</v>
      </c>
      <c r="T158" s="12"/>
      <c r="U158" s="12"/>
    </row>
    <row r="159" spans="1:21" ht="91" x14ac:dyDescent="0.35">
      <c r="A159" s="10" t="s">
        <v>918</v>
      </c>
      <c r="B159" s="10" t="s">
        <v>60</v>
      </c>
      <c r="C159" s="10" t="s">
        <v>825</v>
      </c>
      <c r="D159" s="10" t="s">
        <v>902</v>
      </c>
      <c r="E159" s="10" t="s">
        <v>903</v>
      </c>
      <c r="F159" s="10" t="s">
        <v>919</v>
      </c>
      <c r="G159" s="10" t="s">
        <v>920</v>
      </c>
      <c r="H159" s="10" t="s">
        <v>906</v>
      </c>
      <c r="I159" s="10" t="s">
        <v>67</v>
      </c>
      <c r="J159" s="10"/>
      <c r="K159" s="10" t="s">
        <v>68</v>
      </c>
      <c r="L159" s="10" t="s">
        <v>921</v>
      </c>
      <c r="M159" s="10" t="s">
        <v>907</v>
      </c>
      <c r="N159" s="10" t="s">
        <v>922</v>
      </c>
      <c r="O159" s="12" t="s">
        <v>32</v>
      </c>
      <c r="P159" s="12" t="s">
        <v>1896</v>
      </c>
      <c r="Q159" s="12" t="s">
        <v>2096</v>
      </c>
      <c r="R159" s="12" t="s">
        <v>1947</v>
      </c>
      <c r="S159" s="12" t="s">
        <v>1935</v>
      </c>
      <c r="T159" s="12"/>
      <c r="U159" s="12"/>
    </row>
    <row r="160" spans="1:21" ht="117" x14ac:dyDescent="0.35">
      <c r="A160" s="10" t="s">
        <v>923</v>
      </c>
      <c r="B160" s="10" t="s">
        <v>60</v>
      </c>
      <c r="C160" s="10" t="s">
        <v>825</v>
      </c>
      <c r="D160" s="10" t="s">
        <v>902</v>
      </c>
      <c r="E160" s="10" t="s">
        <v>903</v>
      </c>
      <c r="F160" s="10" t="s">
        <v>924</v>
      </c>
      <c r="G160" s="10" t="s">
        <v>925</v>
      </c>
      <c r="H160" s="10" t="s">
        <v>906</v>
      </c>
      <c r="I160" s="10" t="s">
        <v>67</v>
      </c>
      <c r="J160" s="10" t="s">
        <v>145</v>
      </c>
      <c r="K160" s="10" t="s">
        <v>254</v>
      </c>
      <c r="L160" s="10" t="s">
        <v>255</v>
      </c>
      <c r="M160" s="10" t="s">
        <v>907</v>
      </c>
      <c r="N160" s="10" t="s">
        <v>926</v>
      </c>
      <c r="O160" s="12" t="s">
        <v>32</v>
      </c>
      <c r="P160" s="12" t="s">
        <v>1896</v>
      </c>
      <c r="Q160" s="12" t="s">
        <v>2097</v>
      </c>
      <c r="R160" s="12" t="s">
        <v>2079</v>
      </c>
      <c r="S160" s="12" t="s">
        <v>1935</v>
      </c>
      <c r="T160" s="12"/>
      <c r="U160" s="12"/>
    </row>
    <row r="161" spans="1:21" ht="117" x14ac:dyDescent="0.35">
      <c r="A161" s="10" t="s">
        <v>927</v>
      </c>
      <c r="B161" s="10" t="s">
        <v>60</v>
      </c>
      <c r="C161" s="10" t="s">
        <v>61</v>
      </c>
      <c r="D161" s="10" t="s">
        <v>902</v>
      </c>
      <c r="E161" s="10" t="s">
        <v>903</v>
      </c>
      <c r="F161" s="10" t="s">
        <v>928</v>
      </c>
      <c r="G161" s="10" t="s">
        <v>929</v>
      </c>
      <c r="H161" s="10" t="s">
        <v>906</v>
      </c>
      <c r="I161" s="10" t="s">
        <v>67</v>
      </c>
      <c r="J161" s="10"/>
      <c r="K161" s="10" t="s">
        <v>254</v>
      </c>
      <c r="L161" s="10" t="s">
        <v>255</v>
      </c>
      <c r="M161" s="10" t="s">
        <v>907</v>
      </c>
      <c r="N161" s="10" t="s">
        <v>930</v>
      </c>
      <c r="O161" s="12" t="s">
        <v>32</v>
      </c>
      <c r="P161" s="12" t="s">
        <v>1896</v>
      </c>
      <c r="Q161" s="12" t="s">
        <v>2098</v>
      </c>
      <c r="R161" s="12" t="s">
        <v>2079</v>
      </c>
      <c r="S161" s="12" t="s">
        <v>1935</v>
      </c>
      <c r="T161" s="12"/>
      <c r="U161" s="12"/>
    </row>
    <row r="162" spans="1:21" ht="91" x14ac:dyDescent="0.35">
      <c r="A162" s="10" t="s">
        <v>931</v>
      </c>
      <c r="B162" s="10" t="s">
        <v>60</v>
      </c>
      <c r="C162" s="10" t="s">
        <v>825</v>
      </c>
      <c r="D162" s="10" t="s">
        <v>932</v>
      </c>
      <c r="E162" s="10" t="s">
        <v>933</v>
      </c>
      <c r="F162" s="10" t="s">
        <v>934</v>
      </c>
      <c r="G162" s="10" t="s">
        <v>935</v>
      </c>
      <c r="H162" s="10" t="s">
        <v>936</v>
      </c>
      <c r="I162" s="10" t="s">
        <v>67</v>
      </c>
      <c r="J162" s="10"/>
      <c r="K162" s="10" t="s">
        <v>68</v>
      </c>
      <c r="L162" s="10" t="s">
        <v>937</v>
      </c>
      <c r="M162" s="10" t="s">
        <v>938</v>
      </c>
      <c r="N162" s="10" t="s">
        <v>939</v>
      </c>
      <c r="O162" s="12" t="s">
        <v>32</v>
      </c>
      <c r="P162" s="12" t="s">
        <v>1896</v>
      </c>
      <c r="Q162" s="12" t="s">
        <v>2099</v>
      </c>
      <c r="R162" s="12" t="s">
        <v>1923</v>
      </c>
      <c r="S162" s="12" t="s">
        <v>1897</v>
      </c>
      <c r="T162" s="12"/>
      <c r="U162" s="12"/>
    </row>
    <row r="163" spans="1:21" ht="130" x14ac:dyDescent="0.35">
      <c r="A163" s="10" t="s">
        <v>940</v>
      </c>
      <c r="B163" s="10" t="s">
        <v>60</v>
      </c>
      <c r="C163" s="10" t="s">
        <v>825</v>
      </c>
      <c r="D163" s="10" t="s">
        <v>932</v>
      </c>
      <c r="E163" s="10" t="s">
        <v>933</v>
      </c>
      <c r="F163" s="10" t="s">
        <v>941</v>
      </c>
      <c r="G163" s="10" t="s">
        <v>942</v>
      </c>
      <c r="H163" s="10" t="s">
        <v>936</v>
      </c>
      <c r="I163" s="10" t="s">
        <v>67</v>
      </c>
      <c r="J163" s="10"/>
      <c r="K163" s="10" t="s">
        <v>254</v>
      </c>
      <c r="L163" s="10" t="s">
        <v>255</v>
      </c>
      <c r="M163" s="10" t="s">
        <v>938</v>
      </c>
      <c r="N163" s="10" t="s">
        <v>943</v>
      </c>
      <c r="O163" s="12" t="s">
        <v>32</v>
      </c>
      <c r="P163" s="12" t="s">
        <v>1896</v>
      </c>
      <c r="Q163" s="12" t="s">
        <v>2100</v>
      </c>
      <c r="R163" s="12" t="s">
        <v>2025</v>
      </c>
      <c r="S163" s="12" t="s">
        <v>1897</v>
      </c>
      <c r="T163" s="12"/>
      <c r="U163" s="12"/>
    </row>
    <row r="164" spans="1:21" ht="91" x14ac:dyDescent="0.35">
      <c r="A164" s="10" t="s">
        <v>944</v>
      </c>
      <c r="B164" s="10" t="s">
        <v>60</v>
      </c>
      <c r="C164" s="10" t="s">
        <v>61</v>
      </c>
      <c r="D164" s="10" t="s">
        <v>945</v>
      </c>
      <c r="E164" s="10" t="s">
        <v>946</v>
      </c>
      <c r="F164" s="10" t="s">
        <v>947</v>
      </c>
      <c r="G164" s="10" t="s">
        <v>948</v>
      </c>
      <c r="H164" s="10" t="s">
        <v>949</v>
      </c>
      <c r="I164" s="10" t="s">
        <v>67</v>
      </c>
      <c r="J164" s="10"/>
      <c r="K164" s="10" t="s">
        <v>254</v>
      </c>
      <c r="L164" s="10" t="s">
        <v>255</v>
      </c>
      <c r="M164" s="10" t="s">
        <v>950</v>
      </c>
      <c r="N164" s="10" t="s">
        <v>951</v>
      </c>
      <c r="O164" s="12" t="s">
        <v>32</v>
      </c>
      <c r="P164" s="12" t="s">
        <v>1896</v>
      </c>
      <c r="Q164" s="12" t="s">
        <v>2101</v>
      </c>
      <c r="R164" s="12" t="s">
        <v>1977</v>
      </c>
      <c r="S164" s="12" t="s">
        <v>1897</v>
      </c>
      <c r="T164" s="12"/>
      <c r="U164" s="12"/>
    </row>
    <row r="165" spans="1:21" ht="91" x14ac:dyDescent="0.35">
      <c r="A165" s="10" t="s">
        <v>952</v>
      </c>
      <c r="B165" s="10" t="s">
        <v>60</v>
      </c>
      <c r="C165" s="10" t="s">
        <v>61</v>
      </c>
      <c r="D165" s="10" t="s">
        <v>945</v>
      </c>
      <c r="E165" s="10" t="s">
        <v>946</v>
      </c>
      <c r="F165" s="10" t="s">
        <v>953</v>
      </c>
      <c r="G165" s="10" t="s">
        <v>954</v>
      </c>
      <c r="H165" s="10" t="s">
        <v>949</v>
      </c>
      <c r="I165" s="10" t="s">
        <v>67</v>
      </c>
      <c r="J165" s="10"/>
      <c r="K165" s="10" t="s">
        <v>254</v>
      </c>
      <c r="L165" s="10" t="s">
        <v>255</v>
      </c>
      <c r="M165" s="10" t="s">
        <v>950</v>
      </c>
      <c r="N165" s="10" t="s">
        <v>955</v>
      </c>
      <c r="O165" s="12" t="s">
        <v>32</v>
      </c>
      <c r="P165" s="12" t="s">
        <v>1896</v>
      </c>
      <c r="Q165" s="12" t="s">
        <v>2102</v>
      </c>
      <c r="R165" s="12" t="s">
        <v>1977</v>
      </c>
      <c r="S165" s="12" t="s">
        <v>1897</v>
      </c>
      <c r="T165" s="12"/>
      <c r="U165" s="12"/>
    </row>
    <row r="166" spans="1:21" ht="91" x14ac:dyDescent="0.35">
      <c r="A166" s="10" t="s">
        <v>956</v>
      </c>
      <c r="B166" s="10" t="s">
        <v>60</v>
      </c>
      <c r="C166" s="10" t="s">
        <v>61</v>
      </c>
      <c r="D166" s="10" t="s">
        <v>945</v>
      </c>
      <c r="E166" s="10" t="s">
        <v>946</v>
      </c>
      <c r="F166" s="10" t="s">
        <v>957</v>
      </c>
      <c r="G166" s="10" t="s">
        <v>958</v>
      </c>
      <c r="H166" s="10" t="s">
        <v>949</v>
      </c>
      <c r="I166" s="10" t="s">
        <v>67</v>
      </c>
      <c r="J166" s="10"/>
      <c r="K166" s="10" t="s">
        <v>68</v>
      </c>
      <c r="L166" s="10" t="s">
        <v>959</v>
      </c>
      <c r="M166" s="10" t="s">
        <v>950</v>
      </c>
      <c r="N166" s="10" t="s">
        <v>960</v>
      </c>
      <c r="O166" s="12" t="s">
        <v>32</v>
      </c>
      <c r="P166" s="12" t="s">
        <v>1896</v>
      </c>
      <c r="Q166" s="12" t="s">
        <v>2103</v>
      </c>
      <c r="R166" s="12" t="s">
        <v>1923</v>
      </c>
      <c r="S166" s="12" t="s">
        <v>1897</v>
      </c>
      <c r="T166" s="12"/>
      <c r="U166" s="12"/>
    </row>
    <row r="167" spans="1:21" ht="91" x14ac:dyDescent="0.35">
      <c r="A167" s="10" t="s">
        <v>961</v>
      </c>
      <c r="B167" s="10" t="s">
        <v>60</v>
      </c>
      <c r="C167" s="10" t="s">
        <v>61</v>
      </c>
      <c r="D167" s="10" t="s">
        <v>945</v>
      </c>
      <c r="E167" s="10" t="s">
        <v>946</v>
      </c>
      <c r="F167" s="10" t="s">
        <v>962</v>
      </c>
      <c r="G167" s="10" t="s">
        <v>963</v>
      </c>
      <c r="H167" s="10" t="s">
        <v>949</v>
      </c>
      <c r="I167" s="10" t="s">
        <v>67</v>
      </c>
      <c r="J167" s="10"/>
      <c r="K167" s="10" t="s">
        <v>113</v>
      </c>
      <c r="L167" s="10" t="s">
        <v>964</v>
      </c>
      <c r="M167" s="10" t="s">
        <v>950</v>
      </c>
      <c r="N167" s="10" t="s">
        <v>965</v>
      </c>
      <c r="O167" s="12" t="s">
        <v>32</v>
      </c>
      <c r="P167" s="12" t="s">
        <v>1896</v>
      </c>
      <c r="Q167" s="12" t="s">
        <v>2104</v>
      </c>
      <c r="R167" s="12" t="s">
        <v>1923</v>
      </c>
      <c r="S167" s="12" t="s">
        <v>1897</v>
      </c>
      <c r="T167" s="12"/>
      <c r="U167" s="12"/>
    </row>
    <row r="168" spans="1:21" ht="156" x14ac:dyDescent="0.35">
      <c r="A168" s="10" t="s">
        <v>966</v>
      </c>
      <c r="B168" s="10" t="s">
        <v>967</v>
      </c>
      <c r="C168" s="10" t="s">
        <v>825</v>
      </c>
      <c r="D168" s="10" t="s">
        <v>968</v>
      </c>
      <c r="E168" s="10" t="s">
        <v>969</v>
      </c>
      <c r="F168" s="10" t="s">
        <v>970</v>
      </c>
      <c r="G168" s="10" t="s">
        <v>971</v>
      </c>
      <c r="H168" s="10" t="s">
        <v>972</v>
      </c>
      <c r="I168" s="10" t="s">
        <v>67</v>
      </c>
      <c r="J168" s="10"/>
      <c r="K168" s="10" t="s">
        <v>68</v>
      </c>
      <c r="L168" s="10" t="s">
        <v>973</v>
      </c>
      <c r="M168" s="10"/>
      <c r="N168" s="10" t="s">
        <v>974</v>
      </c>
      <c r="O168" s="12" t="s">
        <v>32</v>
      </c>
      <c r="P168" s="12" t="s">
        <v>1898</v>
      </c>
      <c r="Q168" s="12" t="s">
        <v>1901</v>
      </c>
      <c r="R168" s="12" t="s">
        <v>2105</v>
      </c>
      <c r="S168" s="12" t="s">
        <v>1897</v>
      </c>
      <c r="T168" s="12"/>
      <c r="U168" s="12"/>
    </row>
    <row r="169" spans="1:21" ht="156" x14ac:dyDescent="0.35">
      <c r="A169" s="10" t="s">
        <v>975</v>
      </c>
      <c r="B169" s="10" t="s">
        <v>967</v>
      </c>
      <c r="C169" s="10" t="s">
        <v>458</v>
      </c>
      <c r="D169" s="10" t="s">
        <v>968</v>
      </c>
      <c r="E169" s="10" t="s">
        <v>976</v>
      </c>
      <c r="F169" s="10" t="s">
        <v>977</v>
      </c>
      <c r="G169" s="10" t="s">
        <v>978</v>
      </c>
      <c r="H169" s="10" t="s">
        <v>979</v>
      </c>
      <c r="I169" s="10" t="s">
        <v>67</v>
      </c>
      <c r="J169" s="10"/>
      <c r="K169" s="10" t="s">
        <v>68</v>
      </c>
      <c r="L169" s="10" t="s">
        <v>980</v>
      </c>
      <c r="M169" s="10"/>
      <c r="N169" s="10" t="s">
        <v>981</v>
      </c>
      <c r="O169" s="12" t="s">
        <v>32</v>
      </c>
      <c r="P169" s="12" t="s">
        <v>1898</v>
      </c>
      <c r="Q169" s="12" t="s">
        <v>2106</v>
      </c>
      <c r="R169" s="12" t="s">
        <v>2105</v>
      </c>
      <c r="S169" s="12" t="s">
        <v>1897</v>
      </c>
      <c r="T169" s="12"/>
      <c r="U169" s="12"/>
    </row>
    <row r="170" spans="1:21" ht="156" x14ac:dyDescent="0.35">
      <c r="A170" s="10" t="s">
        <v>982</v>
      </c>
      <c r="B170" s="10" t="s">
        <v>967</v>
      </c>
      <c r="C170" s="10" t="s">
        <v>458</v>
      </c>
      <c r="D170" s="10" t="s">
        <v>968</v>
      </c>
      <c r="E170" s="10" t="s">
        <v>976</v>
      </c>
      <c r="F170" s="10" t="s">
        <v>983</v>
      </c>
      <c r="G170" s="10" t="s">
        <v>984</v>
      </c>
      <c r="H170" s="10" t="s">
        <v>979</v>
      </c>
      <c r="I170" s="10" t="s">
        <v>67</v>
      </c>
      <c r="J170" s="10"/>
      <c r="K170" s="10" t="s">
        <v>68</v>
      </c>
      <c r="L170" s="10" t="s">
        <v>985</v>
      </c>
      <c r="M170" s="10"/>
      <c r="N170" s="10" t="s">
        <v>986</v>
      </c>
      <c r="O170" s="12" t="s">
        <v>32</v>
      </c>
      <c r="P170" s="12" t="s">
        <v>1898</v>
      </c>
      <c r="Q170" s="12" t="s">
        <v>2107</v>
      </c>
      <c r="R170" s="12" t="s">
        <v>2105</v>
      </c>
      <c r="S170" s="12" t="s">
        <v>1897</v>
      </c>
      <c r="T170" s="12"/>
      <c r="U170" s="12"/>
    </row>
    <row r="171" spans="1:21" ht="169" x14ac:dyDescent="0.35">
      <c r="A171" s="10" t="s">
        <v>987</v>
      </c>
      <c r="B171" s="10" t="s">
        <v>967</v>
      </c>
      <c r="C171" s="10" t="s">
        <v>458</v>
      </c>
      <c r="D171" s="10" t="s">
        <v>968</v>
      </c>
      <c r="E171" s="10" t="s">
        <v>988</v>
      </c>
      <c r="F171" s="10" t="s">
        <v>989</v>
      </c>
      <c r="G171" s="10" t="s">
        <v>990</v>
      </c>
      <c r="H171" s="10" t="s">
        <v>991</v>
      </c>
      <c r="I171" s="10" t="s">
        <v>67</v>
      </c>
      <c r="J171" s="10"/>
      <c r="K171" s="10" t="s">
        <v>254</v>
      </c>
      <c r="L171" s="10" t="s">
        <v>992</v>
      </c>
      <c r="M171" s="10"/>
      <c r="N171" s="10" t="s">
        <v>993</v>
      </c>
      <c r="O171" s="12" t="s">
        <v>32</v>
      </c>
      <c r="P171" s="12" t="s">
        <v>1898</v>
      </c>
      <c r="Q171" s="12" t="s">
        <v>2108</v>
      </c>
      <c r="R171" s="12" t="s">
        <v>2109</v>
      </c>
      <c r="S171" s="12" t="s">
        <v>1897</v>
      </c>
      <c r="T171" s="12"/>
      <c r="U171" s="12"/>
    </row>
    <row r="172" spans="1:21" ht="104" x14ac:dyDescent="0.35">
      <c r="A172" s="10" t="s">
        <v>994</v>
      </c>
      <c r="B172" s="10" t="s">
        <v>967</v>
      </c>
      <c r="C172" s="10" t="s">
        <v>458</v>
      </c>
      <c r="D172" s="10" t="s">
        <v>968</v>
      </c>
      <c r="E172" s="10" t="s">
        <v>976</v>
      </c>
      <c r="F172" s="10" t="s">
        <v>995</v>
      </c>
      <c r="G172" s="10" t="s">
        <v>996</v>
      </c>
      <c r="H172" s="10" t="s">
        <v>979</v>
      </c>
      <c r="I172" s="10" t="s">
        <v>67</v>
      </c>
      <c r="J172" s="10"/>
      <c r="K172" s="10" t="s">
        <v>68</v>
      </c>
      <c r="L172" s="10" t="s">
        <v>997</v>
      </c>
      <c r="M172" s="10"/>
      <c r="N172" s="10" t="s">
        <v>998</v>
      </c>
      <c r="O172" s="12" t="s">
        <v>32</v>
      </c>
      <c r="P172" s="12" t="s">
        <v>1898</v>
      </c>
      <c r="Q172" s="12" t="s">
        <v>2110</v>
      </c>
      <c r="R172" s="12" t="s">
        <v>2111</v>
      </c>
      <c r="S172" s="12" t="s">
        <v>1897</v>
      </c>
      <c r="T172" s="12"/>
      <c r="U172" s="12"/>
    </row>
    <row r="173" spans="1:21" ht="104" x14ac:dyDescent="0.35">
      <c r="A173" s="10" t="s">
        <v>999</v>
      </c>
      <c r="B173" s="10" t="s">
        <v>967</v>
      </c>
      <c r="C173" s="10" t="s">
        <v>458</v>
      </c>
      <c r="D173" s="10" t="s">
        <v>968</v>
      </c>
      <c r="E173" s="10" t="s">
        <v>1000</v>
      </c>
      <c r="F173" s="10" t="s">
        <v>1001</v>
      </c>
      <c r="G173" s="10" t="s">
        <v>1002</v>
      </c>
      <c r="H173" s="10" t="s">
        <v>1003</v>
      </c>
      <c r="I173" s="10" t="s">
        <v>67</v>
      </c>
      <c r="J173" s="10"/>
      <c r="K173" s="10" t="s">
        <v>68</v>
      </c>
      <c r="L173" s="10" t="s">
        <v>1004</v>
      </c>
      <c r="M173" s="10"/>
      <c r="N173" s="10" t="s">
        <v>1005</v>
      </c>
      <c r="O173" s="12" t="s">
        <v>32</v>
      </c>
      <c r="P173" s="12" t="s">
        <v>1898</v>
      </c>
      <c r="Q173" s="12" t="s">
        <v>2112</v>
      </c>
      <c r="R173" s="12" t="s">
        <v>2111</v>
      </c>
      <c r="S173" s="12" t="s">
        <v>1897</v>
      </c>
      <c r="T173" s="12"/>
      <c r="U173" s="12"/>
    </row>
    <row r="174" spans="1:21" ht="104" x14ac:dyDescent="0.35">
      <c r="A174" s="10" t="s">
        <v>1006</v>
      </c>
      <c r="B174" s="10" t="s">
        <v>967</v>
      </c>
      <c r="C174" s="10" t="s">
        <v>825</v>
      </c>
      <c r="D174" s="10" t="s">
        <v>968</v>
      </c>
      <c r="E174" s="10" t="s">
        <v>1000</v>
      </c>
      <c r="F174" s="10" t="s">
        <v>1007</v>
      </c>
      <c r="G174" s="10" t="s">
        <v>1008</v>
      </c>
      <c r="H174" s="10" t="s">
        <v>1003</v>
      </c>
      <c r="I174" s="10" t="s">
        <v>67</v>
      </c>
      <c r="J174" s="10"/>
      <c r="K174" s="10" t="s">
        <v>68</v>
      </c>
      <c r="L174" s="10" t="s">
        <v>1009</v>
      </c>
      <c r="M174" s="10"/>
      <c r="N174" s="10" t="s">
        <v>1010</v>
      </c>
      <c r="O174" s="12" t="s">
        <v>32</v>
      </c>
      <c r="P174" s="12" t="s">
        <v>1898</v>
      </c>
      <c r="Q174" s="12" t="s">
        <v>2113</v>
      </c>
      <c r="R174" s="12" t="s">
        <v>2111</v>
      </c>
      <c r="S174" s="12" t="s">
        <v>1897</v>
      </c>
      <c r="T174" s="12"/>
      <c r="U174" s="12"/>
    </row>
    <row r="175" spans="1:21" ht="91" x14ac:dyDescent="0.35">
      <c r="A175" s="10" t="s">
        <v>1011</v>
      </c>
      <c r="B175" s="10" t="s">
        <v>967</v>
      </c>
      <c r="C175" s="10" t="s">
        <v>825</v>
      </c>
      <c r="D175" s="10" t="s">
        <v>968</v>
      </c>
      <c r="E175" s="10" t="s">
        <v>1012</v>
      </c>
      <c r="F175" s="10" t="s">
        <v>860</v>
      </c>
      <c r="G175" s="10" t="s">
        <v>1013</v>
      </c>
      <c r="H175" s="10" t="s">
        <v>1014</v>
      </c>
      <c r="I175" s="10" t="s">
        <v>67</v>
      </c>
      <c r="J175" s="10"/>
      <c r="K175" s="10" t="s">
        <v>68</v>
      </c>
      <c r="L175" s="10" t="s">
        <v>1015</v>
      </c>
      <c r="M175" s="10"/>
      <c r="N175" s="10" t="s">
        <v>1016</v>
      </c>
      <c r="O175" s="12" t="s">
        <v>30</v>
      </c>
      <c r="P175" s="12" t="s">
        <v>2114</v>
      </c>
      <c r="Q175" s="12" t="s">
        <v>2115</v>
      </c>
      <c r="R175" s="12" t="s">
        <v>2116</v>
      </c>
      <c r="S175" s="12" t="s">
        <v>1897</v>
      </c>
      <c r="T175" s="12"/>
      <c r="U175" s="12"/>
    </row>
    <row r="176" spans="1:21" ht="91" x14ac:dyDescent="0.35">
      <c r="A176" s="10" t="s">
        <v>1017</v>
      </c>
      <c r="B176" s="10" t="s">
        <v>967</v>
      </c>
      <c r="C176" s="10" t="s">
        <v>825</v>
      </c>
      <c r="D176" s="10" t="s">
        <v>968</v>
      </c>
      <c r="E176" s="10" t="s">
        <v>1012</v>
      </c>
      <c r="F176" s="10" t="s">
        <v>1018</v>
      </c>
      <c r="G176" s="10" t="s">
        <v>1019</v>
      </c>
      <c r="H176" s="10" t="s">
        <v>1014</v>
      </c>
      <c r="I176" s="10" t="s">
        <v>67</v>
      </c>
      <c r="J176" s="10"/>
      <c r="K176" s="10" t="s">
        <v>68</v>
      </c>
      <c r="L176" s="10" t="s">
        <v>1020</v>
      </c>
      <c r="M176" s="10"/>
      <c r="N176" s="10" t="s">
        <v>1021</v>
      </c>
      <c r="O176" s="12" t="s">
        <v>30</v>
      </c>
      <c r="P176" s="12" t="s">
        <v>2114</v>
      </c>
      <c r="Q176" s="12" t="s">
        <v>2117</v>
      </c>
      <c r="R176" s="12" t="s">
        <v>2116</v>
      </c>
      <c r="S176" s="12" t="s">
        <v>1897</v>
      </c>
      <c r="T176" s="12"/>
      <c r="U176" s="12"/>
    </row>
    <row r="177" spans="1:21" ht="91" x14ac:dyDescent="0.35">
      <c r="A177" s="10" t="s">
        <v>1022</v>
      </c>
      <c r="B177" s="10" t="s">
        <v>967</v>
      </c>
      <c r="C177" s="10" t="s">
        <v>825</v>
      </c>
      <c r="D177" s="10" t="s">
        <v>968</v>
      </c>
      <c r="E177" s="10" t="s">
        <v>1012</v>
      </c>
      <c r="F177" s="10" t="s">
        <v>1023</v>
      </c>
      <c r="G177" s="10" t="s">
        <v>1024</v>
      </c>
      <c r="H177" s="10" t="s">
        <v>1014</v>
      </c>
      <c r="I177" s="10" t="s">
        <v>67</v>
      </c>
      <c r="J177" s="10"/>
      <c r="K177" s="10" t="s">
        <v>68</v>
      </c>
      <c r="L177" s="10" t="s">
        <v>1025</v>
      </c>
      <c r="M177" s="10"/>
      <c r="N177" s="10" t="s">
        <v>1026</v>
      </c>
      <c r="O177" s="12" t="s">
        <v>30</v>
      </c>
      <c r="P177" s="12" t="s">
        <v>2114</v>
      </c>
      <c r="Q177" s="12" t="s">
        <v>2118</v>
      </c>
      <c r="R177" s="12" t="s">
        <v>2116</v>
      </c>
      <c r="S177" s="12" t="s">
        <v>1897</v>
      </c>
      <c r="T177" s="12"/>
      <c r="U177" s="12"/>
    </row>
    <row r="178" spans="1:21" ht="130" x14ac:dyDescent="0.35">
      <c r="A178" s="10" t="s">
        <v>1027</v>
      </c>
      <c r="B178" s="10" t="s">
        <v>967</v>
      </c>
      <c r="C178" s="10" t="s">
        <v>825</v>
      </c>
      <c r="D178" s="10" t="s">
        <v>968</v>
      </c>
      <c r="E178" s="10" t="s">
        <v>1028</v>
      </c>
      <c r="F178" s="10" t="s">
        <v>1029</v>
      </c>
      <c r="G178" s="10" t="s">
        <v>1030</v>
      </c>
      <c r="H178" s="10" t="s">
        <v>1031</v>
      </c>
      <c r="I178" s="10" t="s">
        <v>67</v>
      </c>
      <c r="J178" s="10"/>
      <c r="K178" s="10" t="s">
        <v>254</v>
      </c>
      <c r="L178" s="10" t="s">
        <v>1032</v>
      </c>
      <c r="M178" s="10"/>
      <c r="N178" s="10" t="s">
        <v>1033</v>
      </c>
      <c r="O178" s="12" t="s">
        <v>31</v>
      </c>
      <c r="P178" s="12" t="s">
        <v>1898</v>
      </c>
      <c r="Q178" s="12" t="s">
        <v>2119</v>
      </c>
      <c r="R178" s="12" t="s">
        <v>2120</v>
      </c>
      <c r="S178" s="12" t="s">
        <v>1900</v>
      </c>
      <c r="T178" s="12"/>
      <c r="U178" s="12"/>
    </row>
    <row r="179" spans="1:21" ht="156" x14ac:dyDescent="0.35">
      <c r="A179" s="10" t="s">
        <v>1034</v>
      </c>
      <c r="B179" s="10" t="s">
        <v>967</v>
      </c>
      <c r="C179" s="10" t="s">
        <v>61</v>
      </c>
      <c r="D179" s="10" t="s">
        <v>968</v>
      </c>
      <c r="E179" s="10" t="s">
        <v>1035</v>
      </c>
      <c r="F179" s="10" t="s">
        <v>1036</v>
      </c>
      <c r="G179" s="10" t="s">
        <v>1037</v>
      </c>
      <c r="H179" s="10" t="s">
        <v>1038</v>
      </c>
      <c r="I179" s="10" t="s">
        <v>67</v>
      </c>
      <c r="J179" s="10"/>
      <c r="K179" s="10" t="s">
        <v>254</v>
      </c>
      <c r="L179" s="10" t="s">
        <v>1039</v>
      </c>
      <c r="M179" s="10"/>
      <c r="N179" s="10" t="s">
        <v>1040</v>
      </c>
      <c r="O179" s="12" t="s">
        <v>32</v>
      </c>
      <c r="P179" s="12" t="s">
        <v>1898</v>
      </c>
      <c r="Q179" s="12" t="s">
        <v>2121</v>
      </c>
      <c r="R179" s="12" t="s">
        <v>2122</v>
      </c>
      <c r="S179" s="12" t="s">
        <v>1897</v>
      </c>
      <c r="T179" s="12"/>
      <c r="U179" s="12"/>
    </row>
    <row r="180" spans="1:21" ht="195" x14ac:dyDescent="0.35">
      <c r="A180" s="10" t="s">
        <v>1041</v>
      </c>
      <c r="B180" s="10" t="s">
        <v>967</v>
      </c>
      <c r="C180" s="10" t="s">
        <v>458</v>
      </c>
      <c r="D180" s="10" t="s">
        <v>968</v>
      </c>
      <c r="E180" s="10" t="s">
        <v>1035</v>
      </c>
      <c r="F180" s="10" t="s">
        <v>1042</v>
      </c>
      <c r="G180" s="10" t="s">
        <v>1043</v>
      </c>
      <c r="H180" s="10" t="s">
        <v>1038</v>
      </c>
      <c r="I180" s="10" t="s">
        <v>67</v>
      </c>
      <c r="J180" s="10"/>
      <c r="K180" s="10" t="s">
        <v>68</v>
      </c>
      <c r="L180" s="10" t="s">
        <v>1044</v>
      </c>
      <c r="M180" s="10"/>
      <c r="N180" s="10" t="s">
        <v>1045</v>
      </c>
      <c r="O180" s="12" t="s">
        <v>32</v>
      </c>
      <c r="P180" s="12" t="s">
        <v>1898</v>
      </c>
      <c r="Q180" s="12" t="s">
        <v>2123</v>
      </c>
      <c r="R180" s="12" t="s">
        <v>2124</v>
      </c>
      <c r="S180" s="12" t="s">
        <v>1897</v>
      </c>
      <c r="T180" s="12"/>
      <c r="U180" s="12"/>
    </row>
    <row r="181" spans="1:21" ht="169" x14ac:dyDescent="0.35">
      <c r="A181" s="10" t="s">
        <v>1046</v>
      </c>
      <c r="B181" s="10" t="s">
        <v>967</v>
      </c>
      <c r="C181" s="10" t="s">
        <v>825</v>
      </c>
      <c r="D181" s="10" t="s">
        <v>968</v>
      </c>
      <c r="E181" s="10" t="s">
        <v>1047</v>
      </c>
      <c r="F181" s="10" t="s">
        <v>1048</v>
      </c>
      <c r="G181" s="10" t="s">
        <v>1049</v>
      </c>
      <c r="H181" s="10" t="s">
        <v>1050</v>
      </c>
      <c r="I181" s="10" t="s">
        <v>67</v>
      </c>
      <c r="J181" s="10"/>
      <c r="K181" s="10" t="s">
        <v>254</v>
      </c>
      <c r="L181" s="10" t="s">
        <v>255</v>
      </c>
      <c r="M181" s="10"/>
      <c r="N181" s="10" t="s">
        <v>1051</v>
      </c>
      <c r="O181" s="12" t="s">
        <v>32</v>
      </c>
      <c r="P181" s="12" t="s">
        <v>1898</v>
      </c>
      <c r="Q181" s="12" t="s">
        <v>1902</v>
      </c>
      <c r="R181" s="12" t="s">
        <v>2109</v>
      </c>
      <c r="S181" s="12" t="s">
        <v>1897</v>
      </c>
      <c r="T181" s="12"/>
      <c r="U181" s="12"/>
    </row>
    <row r="182" spans="1:21" ht="91" x14ac:dyDescent="0.35">
      <c r="A182" s="10" t="s">
        <v>1052</v>
      </c>
      <c r="B182" s="10" t="s">
        <v>967</v>
      </c>
      <c r="C182" s="10" t="s">
        <v>61</v>
      </c>
      <c r="D182" s="10" t="s">
        <v>968</v>
      </c>
      <c r="E182" s="10" t="s">
        <v>1053</v>
      </c>
      <c r="F182" s="10" t="s">
        <v>1054</v>
      </c>
      <c r="G182" s="10" t="s">
        <v>1055</v>
      </c>
      <c r="H182" s="10" t="s">
        <v>1056</v>
      </c>
      <c r="I182" s="10" t="s">
        <v>67</v>
      </c>
      <c r="J182" s="10"/>
      <c r="K182" s="10" t="s">
        <v>68</v>
      </c>
      <c r="L182" s="10" t="s">
        <v>1057</v>
      </c>
      <c r="M182" s="10"/>
      <c r="N182" s="10" t="s">
        <v>1058</v>
      </c>
      <c r="O182" s="12" t="s">
        <v>34</v>
      </c>
      <c r="P182" s="12" t="s">
        <v>1898</v>
      </c>
      <c r="Q182" s="12" t="s">
        <v>2125</v>
      </c>
      <c r="R182" s="12" t="s">
        <v>2126</v>
      </c>
      <c r="S182" s="12" t="s">
        <v>2127</v>
      </c>
      <c r="T182" s="12"/>
      <c r="U182" s="12"/>
    </row>
    <row r="183" spans="1:21" ht="91" x14ac:dyDescent="0.35">
      <c r="A183" s="10" t="s">
        <v>1059</v>
      </c>
      <c r="B183" s="10" t="s">
        <v>967</v>
      </c>
      <c r="C183" s="10" t="s">
        <v>458</v>
      </c>
      <c r="D183" s="10" t="s">
        <v>968</v>
      </c>
      <c r="E183" s="10" t="s">
        <v>1053</v>
      </c>
      <c r="F183" s="10" t="s">
        <v>1060</v>
      </c>
      <c r="G183" s="10" t="s">
        <v>1061</v>
      </c>
      <c r="H183" s="10" t="s">
        <v>1056</v>
      </c>
      <c r="I183" s="10" t="s">
        <v>67</v>
      </c>
      <c r="J183" s="10"/>
      <c r="K183" s="10" t="s">
        <v>68</v>
      </c>
      <c r="L183" s="10" t="s">
        <v>1062</v>
      </c>
      <c r="M183" s="10"/>
      <c r="N183" s="10" t="s">
        <v>1063</v>
      </c>
      <c r="O183" s="12" t="s">
        <v>34</v>
      </c>
      <c r="P183" s="12" t="s">
        <v>1898</v>
      </c>
      <c r="Q183" s="12" t="s">
        <v>2128</v>
      </c>
      <c r="R183" s="12" t="s">
        <v>2126</v>
      </c>
      <c r="S183" s="12" t="s">
        <v>2127</v>
      </c>
      <c r="T183" s="12"/>
      <c r="U183" s="12"/>
    </row>
    <row r="184" spans="1:21" ht="104" x14ac:dyDescent="0.35">
      <c r="A184" s="10" t="s">
        <v>1064</v>
      </c>
      <c r="B184" s="10" t="s">
        <v>967</v>
      </c>
      <c r="C184" s="10" t="s">
        <v>825</v>
      </c>
      <c r="D184" s="10" t="s">
        <v>968</v>
      </c>
      <c r="E184" s="10" t="s">
        <v>1065</v>
      </c>
      <c r="F184" s="10" t="s">
        <v>1066</v>
      </c>
      <c r="G184" s="10" t="s">
        <v>1067</v>
      </c>
      <c r="H184" s="10" t="s">
        <v>1068</v>
      </c>
      <c r="I184" s="10" t="s">
        <v>67</v>
      </c>
      <c r="J184" s="10"/>
      <c r="K184" s="10" t="s">
        <v>68</v>
      </c>
      <c r="L184" s="10" t="s">
        <v>1069</v>
      </c>
      <c r="M184" s="10"/>
      <c r="N184" s="10" t="s">
        <v>1070</v>
      </c>
      <c r="O184" s="12" t="s">
        <v>32</v>
      </c>
      <c r="P184" s="12" t="s">
        <v>1898</v>
      </c>
      <c r="Q184" s="12" t="s">
        <v>2129</v>
      </c>
      <c r="R184" s="12" t="s">
        <v>2111</v>
      </c>
      <c r="S184" s="12" t="s">
        <v>1897</v>
      </c>
      <c r="T184" s="12"/>
      <c r="U184" s="12"/>
    </row>
    <row r="185" spans="1:21" ht="104" x14ac:dyDescent="0.35">
      <c r="A185" s="10" t="s">
        <v>1071</v>
      </c>
      <c r="B185" s="10" t="s">
        <v>967</v>
      </c>
      <c r="C185" s="10" t="s">
        <v>458</v>
      </c>
      <c r="D185" s="10" t="s">
        <v>968</v>
      </c>
      <c r="E185" s="10" t="s">
        <v>1072</v>
      </c>
      <c r="F185" s="10" t="s">
        <v>1073</v>
      </c>
      <c r="G185" s="10" t="s">
        <v>1074</v>
      </c>
      <c r="H185" s="10" t="s">
        <v>1075</v>
      </c>
      <c r="I185" s="10" t="s">
        <v>67</v>
      </c>
      <c r="J185" s="10"/>
      <c r="K185" s="10" t="s">
        <v>68</v>
      </c>
      <c r="L185" s="10" t="s">
        <v>1076</v>
      </c>
      <c r="M185" s="10"/>
      <c r="N185" s="10" t="s">
        <v>1077</v>
      </c>
      <c r="O185" s="12" t="s">
        <v>32</v>
      </c>
      <c r="P185" s="12" t="s">
        <v>1898</v>
      </c>
      <c r="Q185" s="12" t="s">
        <v>2130</v>
      </c>
      <c r="R185" s="12" t="s">
        <v>2111</v>
      </c>
      <c r="S185" s="12" t="s">
        <v>1897</v>
      </c>
      <c r="T185" s="12"/>
      <c r="U185" s="12"/>
    </row>
    <row r="186" spans="1:21" ht="117" x14ac:dyDescent="0.35">
      <c r="A186" s="10" t="s">
        <v>1078</v>
      </c>
      <c r="B186" s="10" t="s">
        <v>967</v>
      </c>
      <c r="C186" s="10" t="s">
        <v>458</v>
      </c>
      <c r="D186" s="10" t="s">
        <v>968</v>
      </c>
      <c r="E186" s="10" t="s">
        <v>1079</v>
      </c>
      <c r="F186" s="10" t="s">
        <v>1080</v>
      </c>
      <c r="G186" s="10" t="s">
        <v>1081</v>
      </c>
      <c r="H186" s="10" t="s">
        <v>1082</v>
      </c>
      <c r="I186" s="10" t="s">
        <v>67</v>
      </c>
      <c r="J186" s="10"/>
      <c r="K186" s="10" t="s">
        <v>254</v>
      </c>
      <c r="L186" s="10" t="s">
        <v>1083</v>
      </c>
      <c r="M186" s="10"/>
      <c r="N186" s="10" t="s">
        <v>1084</v>
      </c>
      <c r="O186" s="12" t="s">
        <v>32</v>
      </c>
      <c r="P186" s="12" t="s">
        <v>1898</v>
      </c>
      <c r="Q186" s="12" t="s">
        <v>2131</v>
      </c>
      <c r="R186" s="12" t="s">
        <v>2132</v>
      </c>
      <c r="S186" s="12" t="s">
        <v>1897</v>
      </c>
      <c r="T186" s="12"/>
      <c r="U186" s="12"/>
    </row>
    <row r="187" spans="1:21" ht="104" x14ac:dyDescent="0.35">
      <c r="A187" s="10" t="s">
        <v>1085</v>
      </c>
      <c r="B187" s="10" t="s">
        <v>1086</v>
      </c>
      <c r="C187" s="10" t="s">
        <v>61</v>
      </c>
      <c r="D187" s="10" t="s">
        <v>62</v>
      </c>
      <c r="E187" s="10" t="s">
        <v>63</v>
      </c>
      <c r="F187" s="10" t="s">
        <v>1087</v>
      </c>
      <c r="G187" s="10" t="s">
        <v>1088</v>
      </c>
      <c r="H187" s="10" t="s">
        <v>66</v>
      </c>
      <c r="I187" s="10" t="s">
        <v>67</v>
      </c>
      <c r="J187" s="10"/>
      <c r="K187" s="10" t="s">
        <v>68</v>
      </c>
      <c r="L187" s="10" t="s">
        <v>1089</v>
      </c>
      <c r="M187" s="10" t="s">
        <v>70</v>
      </c>
      <c r="N187" s="10" t="s">
        <v>1090</v>
      </c>
      <c r="O187" s="12" t="s">
        <v>32</v>
      </c>
      <c r="P187" s="12" t="s">
        <v>1896</v>
      </c>
      <c r="Q187" s="12" t="s">
        <v>1903</v>
      </c>
      <c r="R187" s="12" t="s">
        <v>1932</v>
      </c>
      <c r="S187" s="12" t="s">
        <v>1897</v>
      </c>
      <c r="T187" s="12"/>
      <c r="U187" s="12"/>
    </row>
    <row r="188" spans="1:21" ht="143" x14ac:dyDescent="0.35">
      <c r="A188" s="10" t="s">
        <v>1091</v>
      </c>
      <c r="B188" s="10" t="s">
        <v>1086</v>
      </c>
      <c r="C188" s="10" t="s">
        <v>61</v>
      </c>
      <c r="D188" s="10" t="s">
        <v>108</v>
      </c>
      <c r="E188" s="10" t="s">
        <v>109</v>
      </c>
      <c r="F188" s="10" t="s">
        <v>1092</v>
      </c>
      <c r="G188" s="10" t="s">
        <v>1093</v>
      </c>
      <c r="H188" s="10" t="s">
        <v>112</v>
      </c>
      <c r="I188" s="10" t="s">
        <v>67</v>
      </c>
      <c r="J188" s="10"/>
      <c r="K188" s="10" t="s">
        <v>68</v>
      </c>
      <c r="L188" s="10" t="s">
        <v>1094</v>
      </c>
      <c r="M188" s="10" t="s">
        <v>115</v>
      </c>
      <c r="N188" s="10" t="s">
        <v>1095</v>
      </c>
      <c r="O188" s="12" t="s">
        <v>32</v>
      </c>
      <c r="P188" s="12" t="s">
        <v>1896</v>
      </c>
      <c r="Q188" s="12" t="s">
        <v>1904</v>
      </c>
      <c r="R188" s="12" t="s">
        <v>1934</v>
      </c>
      <c r="S188" s="12" t="s">
        <v>1935</v>
      </c>
      <c r="T188" s="12"/>
      <c r="U188" s="12"/>
    </row>
    <row r="189" spans="1:21" ht="143" x14ac:dyDescent="0.35">
      <c r="A189" s="10" t="s">
        <v>1096</v>
      </c>
      <c r="B189" s="10" t="s">
        <v>1086</v>
      </c>
      <c r="C189" s="10" t="s">
        <v>61</v>
      </c>
      <c r="D189" s="10" t="s">
        <v>108</v>
      </c>
      <c r="E189" s="10" t="s">
        <v>109</v>
      </c>
      <c r="F189" s="10" t="s">
        <v>1097</v>
      </c>
      <c r="G189" s="10" t="s">
        <v>1098</v>
      </c>
      <c r="H189" s="10" t="s">
        <v>112</v>
      </c>
      <c r="I189" s="10" t="s">
        <v>67</v>
      </c>
      <c r="J189" s="10"/>
      <c r="K189" s="10" t="s">
        <v>113</v>
      </c>
      <c r="L189" s="10" t="s">
        <v>1099</v>
      </c>
      <c r="M189" s="10" t="s">
        <v>115</v>
      </c>
      <c r="N189" s="10" t="s">
        <v>1100</v>
      </c>
      <c r="O189" s="12" t="s">
        <v>32</v>
      </c>
      <c r="P189" s="12" t="s">
        <v>1896</v>
      </c>
      <c r="Q189" s="12" t="s">
        <v>2133</v>
      </c>
      <c r="R189" s="12" t="s">
        <v>2134</v>
      </c>
      <c r="S189" s="12" t="s">
        <v>1897</v>
      </c>
      <c r="T189" s="12"/>
      <c r="U189" s="12"/>
    </row>
    <row r="190" spans="1:21" ht="130" x14ac:dyDescent="0.35">
      <c r="A190" s="10" t="s">
        <v>1101</v>
      </c>
      <c r="B190" s="10" t="s">
        <v>1086</v>
      </c>
      <c r="C190" s="10" t="s">
        <v>61</v>
      </c>
      <c r="D190" s="10" t="s">
        <v>108</v>
      </c>
      <c r="E190" s="10" t="s">
        <v>109</v>
      </c>
      <c r="F190" s="10" t="s">
        <v>1102</v>
      </c>
      <c r="G190" s="10" t="s">
        <v>1103</v>
      </c>
      <c r="H190" s="10" t="s">
        <v>112</v>
      </c>
      <c r="I190" s="10" t="s">
        <v>67</v>
      </c>
      <c r="J190" s="10"/>
      <c r="K190" s="10" t="s">
        <v>254</v>
      </c>
      <c r="L190" s="10" t="s">
        <v>255</v>
      </c>
      <c r="M190" s="10" t="s">
        <v>115</v>
      </c>
      <c r="N190" s="10" t="s">
        <v>1104</v>
      </c>
      <c r="O190" s="12" t="s">
        <v>32</v>
      </c>
      <c r="P190" s="12" t="s">
        <v>1896</v>
      </c>
      <c r="Q190" s="12" t="s">
        <v>2135</v>
      </c>
      <c r="R190" s="12" t="s">
        <v>2025</v>
      </c>
      <c r="S190" s="12" t="s">
        <v>1897</v>
      </c>
      <c r="T190" s="12"/>
      <c r="U190" s="12"/>
    </row>
    <row r="191" spans="1:21" ht="130" x14ac:dyDescent="0.35">
      <c r="A191" s="10" t="s">
        <v>1105</v>
      </c>
      <c r="B191" s="10" t="s">
        <v>1086</v>
      </c>
      <c r="C191" s="10" t="s">
        <v>61</v>
      </c>
      <c r="D191" s="10" t="s">
        <v>164</v>
      </c>
      <c r="E191" s="10" t="s">
        <v>165</v>
      </c>
      <c r="F191" s="10" t="s">
        <v>1106</v>
      </c>
      <c r="G191" s="10" t="s">
        <v>1107</v>
      </c>
      <c r="H191" s="10" t="s">
        <v>168</v>
      </c>
      <c r="I191" s="10" t="s">
        <v>67</v>
      </c>
      <c r="J191" s="10"/>
      <c r="K191" s="10" t="s">
        <v>254</v>
      </c>
      <c r="L191" s="10" t="s">
        <v>255</v>
      </c>
      <c r="M191" s="10" t="s">
        <v>170</v>
      </c>
      <c r="N191" s="10" t="s">
        <v>1108</v>
      </c>
      <c r="O191" s="12" t="s">
        <v>32</v>
      </c>
      <c r="P191" s="12" t="s">
        <v>1896</v>
      </c>
      <c r="Q191" s="12" t="s">
        <v>1905</v>
      </c>
      <c r="R191" s="12" t="s">
        <v>2025</v>
      </c>
      <c r="S191" s="12" t="s">
        <v>1897</v>
      </c>
      <c r="T191" s="12"/>
      <c r="U191" s="12"/>
    </row>
    <row r="192" spans="1:21" ht="130" x14ac:dyDescent="0.35">
      <c r="A192" s="10" t="s">
        <v>1109</v>
      </c>
      <c r="B192" s="10" t="s">
        <v>1086</v>
      </c>
      <c r="C192" s="10" t="s">
        <v>61</v>
      </c>
      <c r="D192" s="10" t="s">
        <v>164</v>
      </c>
      <c r="E192" s="10" t="s">
        <v>165</v>
      </c>
      <c r="F192" s="10" t="s">
        <v>1110</v>
      </c>
      <c r="G192" s="10" t="s">
        <v>1111</v>
      </c>
      <c r="H192" s="10" t="s">
        <v>168</v>
      </c>
      <c r="I192" s="10" t="s">
        <v>67</v>
      </c>
      <c r="J192" s="10"/>
      <c r="K192" s="10" t="s">
        <v>254</v>
      </c>
      <c r="L192" s="10" t="s">
        <v>255</v>
      </c>
      <c r="M192" s="10" t="s">
        <v>170</v>
      </c>
      <c r="N192" s="10" t="s">
        <v>1112</v>
      </c>
      <c r="O192" s="12" t="s">
        <v>32</v>
      </c>
      <c r="P192" s="12" t="s">
        <v>1896</v>
      </c>
      <c r="Q192" s="12" t="s">
        <v>1906</v>
      </c>
      <c r="R192" s="12" t="s">
        <v>2025</v>
      </c>
      <c r="S192" s="12" t="s">
        <v>1897</v>
      </c>
      <c r="T192" s="12"/>
      <c r="U192" s="12"/>
    </row>
    <row r="193" spans="1:21" ht="104" x14ac:dyDescent="0.35">
      <c r="A193" s="10" t="s">
        <v>1113</v>
      </c>
      <c r="B193" s="10" t="s">
        <v>1086</v>
      </c>
      <c r="C193" s="10" t="s">
        <v>61</v>
      </c>
      <c r="D193" s="10" t="s">
        <v>193</v>
      </c>
      <c r="E193" s="10" t="s">
        <v>194</v>
      </c>
      <c r="F193" s="10" t="s">
        <v>1114</v>
      </c>
      <c r="G193" s="10" t="s">
        <v>1115</v>
      </c>
      <c r="H193" s="10" t="s">
        <v>197</v>
      </c>
      <c r="I193" s="10" t="s">
        <v>67</v>
      </c>
      <c r="J193" s="10"/>
      <c r="K193" s="10" t="s">
        <v>113</v>
      </c>
      <c r="L193" s="10" t="s">
        <v>1116</v>
      </c>
      <c r="M193" s="10" t="s">
        <v>199</v>
      </c>
      <c r="N193" s="10" t="s">
        <v>1117</v>
      </c>
      <c r="O193" s="12" t="s">
        <v>32</v>
      </c>
      <c r="P193" s="12" t="s">
        <v>1896</v>
      </c>
      <c r="Q193" s="12" t="s">
        <v>1907</v>
      </c>
      <c r="R193" s="12" t="s">
        <v>1932</v>
      </c>
      <c r="S193" s="12" t="s">
        <v>1897</v>
      </c>
      <c r="T193" s="12"/>
      <c r="U193" s="12"/>
    </row>
    <row r="194" spans="1:21" ht="130" x14ac:dyDescent="0.35">
      <c r="A194" s="10" t="s">
        <v>1118</v>
      </c>
      <c r="B194" s="10" t="s">
        <v>1086</v>
      </c>
      <c r="C194" s="10" t="s">
        <v>61</v>
      </c>
      <c r="D194" s="10" t="s">
        <v>233</v>
      </c>
      <c r="E194" s="10" t="s">
        <v>234</v>
      </c>
      <c r="F194" s="10" t="s">
        <v>1119</v>
      </c>
      <c r="G194" s="10" t="s">
        <v>1120</v>
      </c>
      <c r="H194" s="10" t="s">
        <v>237</v>
      </c>
      <c r="I194" s="10" t="s">
        <v>67</v>
      </c>
      <c r="J194" s="10"/>
      <c r="K194" s="10" t="s">
        <v>254</v>
      </c>
      <c r="L194" s="10" t="s">
        <v>255</v>
      </c>
      <c r="M194" s="10" t="s">
        <v>239</v>
      </c>
      <c r="N194" s="10" t="s">
        <v>1121</v>
      </c>
      <c r="O194" s="12" t="s">
        <v>31</v>
      </c>
      <c r="P194" s="12" t="s">
        <v>1898</v>
      </c>
      <c r="Q194" s="12" t="s">
        <v>1908</v>
      </c>
      <c r="R194" s="12" t="s">
        <v>2136</v>
      </c>
      <c r="S194" s="12" t="s">
        <v>2001</v>
      </c>
      <c r="T194" s="12"/>
      <c r="U194" s="12"/>
    </row>
    <row r="195" spans="1:21" ht="104" x14ac:dyDescent="0.35">
      <c r="A195" s="10" t="s">
        <v>1122</v>
      </c>
      <c r="B195" s="10" t="s">
        <v>1086</v>
      </c>
      <c r="C195" s="10" t="s">
        <v>61</v>
      </c>
      <c r="D195" s="10" t="s">
        <v>277</v>
      </c>
      <c r="E195" s="10" t="s">
        <v>278</v>
      </c>
      <c r="F195" s="10" t="s">
        <v>1123</v>
      </c>
      <c r="G195" s="10" t="s">
        <v>1124</v>
      </c>
      <c r="H195" s="10" t="s">
        <v>281</v>
      </c>
      <c r="I195" s="10" t="s">
        <v>67</v>
      </c>
      <c r="J195" s="10"/>
      <c r="K195" s="10" t="s">
        <v>113</v>
      </c>
      <c r="L195" s="10" t="s">
        <v>1125</v>
      </c>
      <c r="M195" s="10" t="s">
        <v>283</v>
      </c>
      <c r="N195" s="10" t="s">
        <v>1126</v>
      </c>
      <c r="O195" s="12" t="s">
        <v>32</v>
      </c>
      <c r="P195" s="12" t="s">
        <v>1896</v>
      </c>
      <c r="Q195" s="12" t="s">
        <v>1909</v>
      </c>
      <c r="R195" s="12" t="s">
        <v>1932</v>
      </c>
      <c r="S195" s="12" t="s">
        <v>1897</v>
      </c>
      <c r="T195" s="12"/>
      <c r="U195" s="12"/>
    </row>
    <row r="196" spans="1:21" ht="104" x14ac:dyDescent="0.35">
      <c r="A196" s="10" t="s">
        <v>1127</v>
      </c>
      <c r="B196" s="10" t="s">
        <v>1086</v>
      </c>
      <c r="C196" s="10" t="s">
        <v>61</v>
      </c>
      <c r="D196" s="10" t="s">
        <v>311</v>
      </c>
      <c r="E196" s="10" t="s">
        <v>312</v>
      </c>
      <c r="F196" s="10" t="s">
        <v>1128</v>
      </c>
      <c r="G196" s="10" t="s">
        <v>1129</v>
      </c>
      <c r="H196" s="10" t="s">
        <v>315</v>
      </c>
      <c r="I196" s="10" t="s">
        <v>67</v>
      </c>
      <c r="J196" s="10"/>
      <c r="K196" s="10" t="s">
        <v>68</v>
      </c>
      <c r="L196" s="10" t="s">
        <v>1130</v>
      </c>
      <c r="M196" s="10" t="s">
        <v>317</v>
      </c>
      <c r="N196" s="10" t="s">
        <v>1131</v>
      </c>
      <c r="O196" s="12" t="s">
        <v>32</v>
      </c>
      <c r="P196" s="12" t="s">
        <v>1896</v>
      </c>
      <c r="Q196" s="12" t="s">
        <v>1910</v>
      </c>
      <c r="R196" s="12" t="s">
        <v>1932</v>
      </c>
      <c r="S196" s="12" t="s">
        <v>1897</v>
      </c>
      <c r="T196" s="12"/>
      <c r="U196" s="12"/>
    </row>
    <row r="197" spans="1:21" ht="143" x14ac:dyDescent="0.35">
      <c r="A197" s="10" t="s">
        <v>1132</v>
      </c>
      <c r="B197" s="10" t="s">
        <v>1086</v>
      </c>
      <c r="C197" s="10" t="s">
        <v>61</v>
      </c>
      <c r="D197" s="10" t="s">
        <v>334</v>
      </c>
      <c r="E197" s="10" t="s">
        <v>335</v>
      </c>
      <c r="F197" s="10" t="s">
        <v>1133</v>
      </c>
      <c r="G197" s="10" t="s">
        <v>1134</v>
      </c>
      <c r="H197" s="10" t="s">
        <v>338</v>
      </c>
      <c r="I197" s="10" t="s">
        <v>67</v>
      </c>
      <c r="J197" s="10"/>
      <c r="K197" s="10" t="s">
        <v>68</v>
      </c>
      <c r="L197" s="10" t="s">
        <v>1135</v>
      </c>
      <c r="M197" s="10" t="s">
        <v>340</v>
      </c>
      <c r="N197" s="10" t="s">
        <v>1136</v>
      </c>
      <c r="O197" s="12" t="s">
        <v>32</v>
      </c>
      <c r="P197" s="12" t="s">
        <v>1896</v>
      </c>
      <c r="Q197" s="12" t="s">
        <v>2137</v>
      </c>
      <c r="R197" s="12" t="s">
        <v>1980</v>
      </c>
      <c r="S197" s="12" t="s">
        <v>1897</v>
      </c>
      <c r="T197" s="12"/>
      <c r="U197" s="12"/>
    </row>
    <row r="198" spans="1:21" ht="169" x14ac:dyDescent="0.35">
      <c r="A198" s="10" t="s">
        <v>1137</v>
      </c>
      <c r="B198" s="10" t="s">
        <v>1086</v>
      </c>
      <c r="C198" s="10" t="s">
        <v>61</v>
      </c>
      <c r="D198" s="10" t="s">
        <v>334</v>
      </c>
      <c r="E198" s="10" t="s">
        <v>335</v>
      </c>
      <c r="F198" s="10" t="s">
        <v>1138</v>
      </c>
      <c r="G198" s="10" t="s">
        <v>1139</v>
      </c>
      <c r="H198" s="10" t="s">
        <v>338</v>
      </c>
      <c r="I198" s="10" t="s">
        <v>67</v>
      </c>
      <c r="J198" s="10"/>
      <c r="K198" s="10" t="s">
        <v>254</v>
      </c>
      <c r="L198" s="10" t="s">
        <v>255</v>
      </c>
      <c r="M198" s="10" t="s">
        <v>340</v>
      </c>
      <c r="N198" s="10" t="s">
        <v>1140</v>
      </c>
      <c r="O198" s="12" t="s">
        <v>32</v>
      </c>
      <c r="P198" s="12" t="s">
        <v>1896</v>
      </c>
      <c r="Q198" s="12" t="s">
        <v>2138</v>
      </c>
      <c r="R198" s="12" t="s">
        <v>2139</v>
      </c>
      <c r="S198" s="12" t="s">
        <v>1897</v>
      </c>
      <c r="T198" s="12"/>
      <c r="U198" s="12"/>
    </row>
    <row r="199" spans="1:21" ht="169" x14ac:dyDescent="0.35">
      <c r="A199" s="10" t="s">
        <v>1141</v>
      </c>
      <c r="B199" s="10" t="s">
        <v>1086</v>
      </c>
      <c r="C199" s="10" t="s">
        <v>61</v>
      </c>
      <c r="D199" s="10" t="s">
        <v>334</v>
      </c>
      <c r="E199" s="10" t="s">
        <v>335</v>
      </c>
      <c r="F199" s="10" t="s">
        <v>1142</v>
      </c>
      <c r="G199" s="10" t="s">
        <v>1143</v>
      </c>
      <c r="H199" s="10" t="s">
        <v>338</v>
      </c>
      <c r="I199" s="10" t="s">
        <v>67</v>
      </c>
      <c r="J199" s="10"/>
      <c r="K199" s="10" t="s">
        <v>254</v>
      </c>
      <c r="L199" s="10" t="s">
        <v>255</v>
      </c>
      <c r="M199" s="10" t="s">
        <v>340</v>
      </c>
      <c r="N199" s="10" t="s">
        <v>1144</v>
      </c>
      <c r="O199" s="12" t="s">
        <v>31</v>
      </c>
      <c r="P199" s="12" t="s">
        <v>1898</v>
      </c>
      <c r="Q199" s="12" t="s">
        <v>2140</v>
      </c>
      <c r="R199" s="12" t="s">
        <v>2141</v>
      </c>
      <c r="S199" s="12" t="s">
        <v>1900</v>
      </c>
      <c r="T199" s="12"/>
      <c r="U199" s="12"/>
    </row>
    <row r="200" spans="1:21" ht="169" x14ac:dyDescent="0.35">
      <c r="A200" s="10" t="s">
        <v>1145</v>
      </c>
      <c r="B200" s="10" t="s">
        <v>1086</v>
      </c>
      <c r="C200" s="10" t="s">
        <v>61</v>
      </c>
      <c r="D200" s="10" t="s">
        <v>334</v>
      </c>
      <c r="E200" s="10" t="s">
        <v>335</v>
      </c>
      <c r="F200" s="10" t="s">
        <v>1146</v>
      </c>
      <c r="G200" s="10" t="s">
        <v>1147</v>
      </c>
      <c r="H200" s="10" t="s">
        <v>338</v>
      </c>
      <c r="I200" s="10" t="s">
        <v>67</v>
      </c>
      <c r="J200" s="10"/>
      <c r="K200" s="10" t="s">
        <v>254</v>
      </c>
      <c r="L200" s="10" t="s">
        <v>255</v>
      </c>
      <c r="M200" s="10" t="s">
        <v>340</v>
      </c>
      <c r="N200" s="10" t="s">
        <v>1148</v>
      </c>
      <c r="O200" s="12" t="s">
        <v>32</v>
      </c>
      <c r="P200" s="12" t="s">
        <v>1896</v>
      </c>
      <c r="Q200" s="12" t="s">
        <v>1911</v>
      </c>
      <c r="R200" s="12" t="s">
        <v>2139</v>
      </c>
      <c r="S200" s="12" t="s">
        <v>1897</v>
      </c>
      <c r="T200" s="12"/>
      <c r="U200" s="12"/>
    </row>
    <row r="201" spans="1:21" ht="104" x14ac:dyDescent="0.35">
      <c r="A201" s="10" t="s">
        <v>1149</v>
      </c>
      <c r="B201" s="10" t="s">
        <v>1086</v>
      </c>
      <c r="C201" s="10" t="s">
        <v>61</v>
      </c>
      <c r="D201" s="10" t="s">
        <v>411</v>
      </c>
      <c r="E201" s="10" t="s">
        <v>412</v>
      </c>
      <c r="F201" s="10" t="s">
        <v>1150</v>
      </c>
      <c r="G201" s="10" t="s">
        <v>1151</v>
      </c>
      <c r="H201" s="10" t="s">
        <v>415</v>
      </c>
      <c r="I201" s="10" t="s">
        <v>67</v>
      </c>
      <c r="J201" s="10"/>
      <c r="K201" s="10" t="s">
        <v>68</v>
      </c>
      <c r="L201" s="10" t="s">
        <v>1152</v>
      </c>
      <c r="M201" s="10" t="s">
        <v>417</v>
      </c>
      <c r="N201" s="10" t="s">
        <v>1153</v>
      </c>
      <c r="O201" s="12" t="s">
        <v>32</v>
      </c>
      <c r="P201" s="12" t="s">
        <v>1896</v>
      </c>
      <c r="Q201" s="12" t="s">
        <v>2142</v>
      </c>
      <c r="R201" s="12" t="s">
        <v>1932</v>
      </c>
      <c r="S201" s="12" t="s">
        <v>1897</v>
      </c>
      <c r="T201" s="12"/>
      <c r="U201" s="12"/>
    </row>
    <row r="202" spans="1:21" ht="130" x14ac:dyDescent="0.35">
      <c r="A202" s="10" t="s">
        <v>1154</v>
      </c>
      <c r="B202" s="10" t="s">
        <v>1086</v>
      </c>
      <c r="C202" s="10" t="s">
        <v>61</v>
      </c>
      <c r="D202" s="10" t="s">
        <v>430</v>
      </c>
      <c r="E202" s="10" t="s">
        <v>431</v>
      </c>
      <c r="F202" s="10" t="s">
        <v>1155</v>
      </c>
      <c r="G202" s="10" t="s">
        <v>1156</v>
      </c>
      <c r="H202" s="10" t="s">
        <v>434</v>
      </c>
      <c r="I202" s="10" t="s">
        <v>67</v>
      </c>
      <c r="J202" s="10"/>
      <c r="K202" s="10" t="s">
        <v>254</v>
      </c>
      <c r="L202" s="10" t="s">
        <v>255</v>
      </c>
      <c r="M202" s="10" t="s">
        <v>436</v>
      </c>
      <c r="N202" s="10" t="s">
        <v>1157</v>
      </c>
      <c r="O202" s="12" t="s">
        <v>31</v>
      </c>
      <c r="P202" s="12" t="s">
        <v>1898</v>
      </c>
      <c r="Q202" s="12" t="s">
        <v>1912</v>
      </c>
      <c r="R202" s="12" t="s">
        <v>2136</v>
      </c>
      <c r="S202" s="12" t="s">
        <v>2001</v>
      </c>
      <c r="T202" s="12"/>
      <c r="U202" s="12"/>
    </row>
    <row r="203" spans="1:21" ht="143" x14ac:dyDescent="0.35">
      <c r="A203" s="10" t="s">
        <v>1158</v>
      </c>
      <c r="B203" s="10" t="s">
        <v>1086</v>
      </c>
      <c r="C203" s="10" t="s">
        <v>458</v>
      </c>
      <c r="D203" s="10" t="s">
        <v>459</v>
      </c>
      <c r="E203" s="10" t="s">
        <v>460</v>
      </c>
      <c r="F203" s="10" t="s">
        <v>1159</v>
      </c>
      <c r="G203" s="10" t="s">
        <v>1160</v>
      </c>
      <c r="H203" s="10" t="s">
        <v>463</v>
      </c>
      <c r="I203" s="10" t="s">
        <v>67</v>
      </c>
      <c r="J203" s="10"/>
      <c r="K203" s="10" t="s">
        <v>113</v>
      </c>
      <c r="L203" s="10" t="s">
        <v>1161</v>
      </c>
      <c r="M203" s="10" t="s">
        <v>465</v>
      </c>
      <c r="N203" s="10" t="s">
        <v>1162</v>
      </c>
      <c r="O203" s="12" t="s">
        <v>32</v>
      </c>
      <c r="P203" s="12" t="s">
        <v>1896</v>
      </c>
      <c r="Q203" s="12" t="s">
        <v>1913</v>
      </c>
      <c r="R203" s="12" t="s">
        <v>1934</v>
      </c>
      <c r="S203" s="12" t="s">
        <v>1935</v>
      </c>
      <c r="T203" s="12"/>
      <c r="U203" s="12"/>
    </row>
    <row r="204" spans="1:21" ht="208" x14ac:dyDescent="0.35">
      <c r="A204" s="10" t="s">
        <v>1163</v>
      </c>
      <c r="B204" s="10" t="s">
        <v>1086</v>
      </c>
      <c r="C204" s="10" t="s">
        <v>458</v>
      </c>
      <c r="D204" s="10" t="s">
        <v>459</v>
      </c>
      <c r="E204" s="10" t="s">
        <v>460</v>
      </c>
      <c r="F204" s="10" t="s">
        <v>1164</v>
      </c>
      <c r="G204" s="10" t="s">
        <v>1165</v>
      </c>
      <c r="H204" s="10" t="s">
        <v>463</v>
      </c>
      <c r="I204" s="10" t="s">
        <v>67</v>
      </c>
      <c r="J204" s="10"/>
      <c r="K204" s="10" t="s">
        <v>113</v>
      </c>
      <c r="L204" s="10" t="s">
        <v>1166</v>
      </c>
      <c r="M204" s="10" t="s">
        <v>465</v>
      </c>
      <c r="N204" s="10" t="s">
        <v>1167</v>
      </c>
      <c r="O204" s="12" t="s">
        <v>32</v>
      </c>
      <c r="P204" s="12" t="s">
        <v>1896</v>
      </c>
      <c r="Q204" s="12" t="s">
        <v>2143</v>
      </c>
      <c r="R204" s="12" t="s">
        <v>2144</v>
      </c>
      <c r="S204" s="12" t="s">
        <v>1935</v>
      </c>
      <c r="T204" s="12"/>
      <c r="U204" s="12"/>
    </row>
    <row r="205" spans="1:21" ht="143" x14ac:dyDescent="0.35">
      <c r="A205" s="10" t="s">
        <v>1168</v>
      </c>
      <c r="B205" s="10" t="s">
        <v>1086</v>
      </c>
      <c r="C205" s="10" t="s">
        <v>458</v>
      </c>
      <c r="D205" s="10" t="s">
        <v>459</v>
      </c>
      <c r="E205" s="10" t="s">
        <v>460</v>
      </c>
      <c r="F205" s="10" t="s">
        <v>478</v>
      </c>
      <c r="G205" s="10" t="s">
        <v>1169</v>
      </c>
      <c r="H205" s="10" t="s">
        <v>463</v>
      </c>
      <c r="I205" s="10" t="s">
        <v>67</v>
      </c>
      <c r="J205" s="10"/>
      <c r="K205" s="10" t="s">
        <v>113</v>
      </c>
      <c r="L205" s="10" t="s">
        <v>1170</v>
      </c>
      <c r="M205" s="10" t="s">
        <v>465</v>
      </c>
      <c r="N205" s="10" t="s">
        <v>1171</v>
      </c>
      <c r="O205" s="12" t="s">
        <v>32</v>
      </c>
      <c r="P205" s="12" t="s">
        <v>1896</v>
      </c>
      <c r="Q205" s="12" t="s">
        <v>1914</v>
      </c>
      <c r="R205" s="12" t="s">
        <v>1934</v>
      </c>
      <c r="S205" s="12" t="s">
        <v>1935</v>
      </c>
      <c r="T205" s="12"/>
      <c r="U205" s="12"/>
    </row>
    <row r="206" spans="1:21" ht="104" x14ac:dyDescent="0.35">
      <c r="A206" s="10" t="s">
        <v>1172</v>
      </c>
      <c r="B206" s="10" t="s">
        <v>1086</v>
      </c>
      <c r="C206" s="10" t="s">
        <v>458</v>
      </c>
      <c r="D206" s="10" t="s">
        <v>512</v>
      </c>
      <c r="E206" s="10" t="s">
        <v>513</v>
      </c>
      <c r="F206" s="10" t="s">
        <v>1173</v>
      </c>
      <c r="G206" s="10" t="s">
        <v>1174</v>
      </c>
      <c r="H206" s="10" t="s">
        <v>516</v>
      </c>
      <c r="I206" s="10" t="s">
        <v>67</v>
      </c>
      <c r="J206" s="10"/>
      <c r="K206" s="10" t="s">
        <v>113</v>
      </c>
      <c r="L206" s="10" t="s">
        <v>1175</v>
      </c>
      <c r="M206" s="10" t="s">
        <v>518</v>
      </c>
      <c r="N206" s="10" t="s">
        <v>1176</v>
      </c>
      <c r="O206" s="12" t="s">
        <v>32</v>
      </c>
      <c r="P206" s="12" t="s">
        <v>1896</v>
      </c>
      <c r="Q206" s="12" t="s">
        <v>1915</v>
      </c>
      <c r="R206" s="12" t="s">
        <v>1932</v>
      </c>
      <c r="S206" s="12" t="s">
        <v>1897</v>
      </c>
      <c r="T206" s="12"/>
      <c r="U206" s="12"/>
    </row>
    <row r="207" spans="1:21" ht="91" x14ac:dyDescent="0.35">
      <c r="A207" s="10" t="s">
        <v>1177</v>
      </c>
      <c r="B207" s="10" t="s">
        <v>1086</v>
      </c>
      <c r="C207" s="10" t="s">
        <v>458</v>
      </c>
      <c r="D207" s="10" t="s">
        <v>512</v>
      </c>
      <c r="E207" s="10" t="s">
        <v>513</v>
      </c>
      <c r="F207" s="10" t="s">
        <v>1178</v>
      </c>
      <c r="G207" s="10" t="s">
        <v>1179</v>
      </c>
      <c r="H207" s="10" t="s">
        <v>516</v>
      </c>
      <c r="I207" s="10" t="s">
        <v>67</v>
      </c>
      <c r="J207" s="10"/>
      <c r="K207" s="10" t="s">
        <v>254</v>
      </c>
      <c r="L207" s="10" t="s">
        <v>255</v>
      </c>
      <c r="M207" s="10" t="s">
        <v>518</v>
      </c>
      <c r="N207" s="10" t="s">
        <v>1180</v>
      </c>
      <c r="O207" s="12" t="s">
        <v>31</v>
      </c>
      <c r="P207" s="12" t="s">
        <v>1898</v>
      </c>
      <c r="Q207" s="12" t="s">
        <v>2145</v>
      </c>
      <c r="R207" s="12" t="s">
        <v>2146</v>
      </c>
      <c r="S207" s="12" t="s">
        <v>1897</v>
      </c>
      <c r="T207" s="12"/>
      <c r="U207" s="12"/>
    </row>
    <row r="208" spans="1:21" ht="104" x14ac:dyDescent="0.35">
      <c r="A208" s="10" t="s">
        <v>1181</v>
      </c>
      <c r="B208" s="10" t="s">
        <v>1086</v>
      </c>
      <c r="C208" s="10" t="s">
        <v>458</v>
      </c>
      <c r="D208" s="10" t="s">
        <v>512</v>
      </c>
      <c r="E208" s="10" t="s">
        <v>513</v>
      </c>
      <c r="F208" s="10" t="s">
        <v>1182</v>
      </c>
      <c r="G208" s="10" t="s">
        <v>1183</v>
      </c>
      <c r="H208" s="10" t="s">
        <v>516</v>
      </c>
      <c r="I208" s="10" t="s">
        <v>67</v>
      </c>
      <c r="J208" s="10"/>
      <c r="K208" s="10" t="s">
        <v>113</v>
      </c>
      <c r="L208" s="10" t="s">
        <v>1184</v>
      </c>
      <c r="M208" s="10" t="s">
        <v>518</v>
      </c>
      <c r="N208" s="10" t="s">
        <v>1185</v>
      </c>
      <c r="O208" s="12" t="s">
        <v>32</v>
      </c>
      <c r="P208" s="12" t="s">
        <v>1896</v>
      </c>
      <c r="Q208" s="12" t="s">
        <v>1916</v>
      </c>
      <c r="R208" s="12" t="s">
        <v>1932</v>
      </c>
      <c r="S208" s="12" t="s">
        <v>1897</v>
      </c>
      <c r="T208" s="12"/>
      <c r="U208" s="12"/>
    </row>
    <row r="209" spans="1:21" ht="104" x14ac:dyDescent="0.35">
      <c r="A209" s="10" t="s">
        <v>1186</v>
      </c>
      <c r="B209" s="10" t="s">
        <v>1086</v>
      </c>
      <c r="C209" s="10" t="s">
        <v>458</v>
      </c>
      <c r="D209" s="10" t="s">
        <v>583</v>
      </c>
      <c r="E209" s="10" t="s">
        <v>584</v>
      </c>
      <c r="F209" s="10" t="s">
        <v>1187</v>
      </c>
      <c r="G209" s="10" t="s">
        <v>1188</v>
      </c>
      <c r="H209" s="10" t="s">
        <v>587</v>
      </c>
      <c r="I209" s="10" t="s">
        <v>67</v>
      </c>
      <c r="J209" s="10"/>
      <c r="K209" s="10" t="s">
        <v>113</v>
      </c>
      <c r="L209" s="10" t="s">
        <v>1189</v>
      </c>
      <c r="M209" s="10" t="s">
        <v>589</v>
      </c>
      <c r="N209" s="10" t="s">
        <v>1190</v>
      </c>
      <c r="O209" s="12" t="s">
        <v>32</v>
      </c>
      <c r="P209" s="12" t="s">
        <v>1896</v>
      </c>
      <c r="Q209" s="12" t="s">
        <v>2147</v>
      </c>
      <c r="R209" s="12" t="s">
        <v>1932</v>
      </c>
      <c r="S209" s="12" t="s">
        <v>1897</v>
      </c>
      <c r="T209" s="12"/>
      <c r="U209" s="12"/>
    </row>
    <row r="210" spans="1:21" ht="143" x14ac:dyDescent="0.35">
      <c r="A210" s="10" t="s">
        <v>1191</v>
      </c>
      <c r="B210" s="10" t="s">
        <v>1086</v>
      </c>
      <c r="C210" s="10" t="s">
        <v>458</v>
      </c>
      <c r="D210" s="10" t="s">
        <v>632</v>
      </c>
      <c r="E210" s="10" t="s">
        <v>633</v>
      </c>
      <c r="F210" s="10" t="s">
        <v>1192</v>
      </c>
      <c r="G210" s="10" t="s">
        <v>1193</v>
      </c>
      <c r="H210" s="10" t="s">
        <v>636</v>
      </c>
      <c r="I210" s="10" t="s">
        <v>67</v>
      </c>
      <c r="J210" s="10"/>
      <c r="K210" s="10" t="s">
        <v>68</v>
      </c>
      <c r="L210" s="10" t="s">
        <v>1194</v>
      </c>
      <c r="M210" s="10" t="s">
        <v>638</v>
      </c>
      <c r="N210" s="10" t="s">
        <v>1195</v>
      </c>
      <c r="O210" s="12" t="s">
        <v>31</v>
      </c>
      <c r="P210" s="12" t="s">
        <v>1898</v>
      </c>
      <c r="Q210" s="12" t="s">
        <v>1917</v>
      </c>
      <c r="R210" s="12" t="s">
        <v>2044</v>
      </c>
      <c r="S210" s="12" t="s">
        <v>1935</v>
      </c>
      <c r="T210" s="12"/>
      <c r="U210" s="12"/>
    </row>
    <row r="211" spans="1:21" ht="182" x14ac:dyDescent="0.35">
      <c r="A211" s="10" t="s">
        <v>1196</v>
      </c>
      <c r="B211" s="10" t="s">
        <v>1086</v>
      </c>
      <c r="C211" s="10" t="s">
        <v>458</v>
      </c>
      <c r="D211" s="10" t="s">
        <v>632</v>
      </c>
      <c r="E211" s="10" t="s">
        <v>633</v>
      </c>
      <c r="F211" s="10" t="s">
        <v>1197</v>
      </c>
      <c r="G211" s="10" t="s">
        <v>1198</v>
      </c>
      <c r="H211" s="10" t="s">
        <v>636</v>
      </c>
      <c r="I211" s="10" t="s">
        <v>67</v>
      </c>
      <c r="J211" s="10"/>
      <c r="K211" s="10" t="s">
        <v>68</v>
      </c>
      <c r="L211" s="10" t="s">
        <v>1199</v>
      </c>
      <c r="M211" s="10" t="s">
        <v>638</v>
      </c>
      <c r="N211" s="10" t="s">
        <v>1200</v>
      </c>
      <c r="O211" s="12" t="s">
        <v>32</v>
      </c>
      <c r="P211" s="12" t="s">
        <v>1896</v>
      </c>
      <c r="Q211" s="12" t="s">
        <v>1918</v>
      </c>
      <c r="R211" s="12" t="s">
        <v>2148</v>
      </c>
      <c r="S211" s="12" t="s">
        <v>1935</v>
      </c>
      <c r="T211" s="12"/>
      <c r="U211" s="12"/>
    </row>
    <row r="212" spans="1:21" ht="104" x14ac:dyDescent="0.35">
      <c r="A212" s="10" t="s">
        <v>1201</v>
      </c>
      <c r="B212" s="10" t="s">
        <v>1086</v>
      </c>
      <c r="C212" s="10" t="s">
        <v>458</v>
      </c>
      <c r="D212" s="10" t="s">
        <v>651</v>
      </c>
      <c r="E212" s="10" t="s">
        <v>652</v>
      </c>
      <c r="F212" s="10" t="s">
        <v>1202</v>
      </c>
      <c r="G212" s="10" t="s">
        <v>1203</v>
      </c>
      <c r="H212" s="10" t="s">
        <v>655</v>
      </c>
      <c r="I212" s="10" t="s">
        <v>67</v>
      </c>
      <c r="J212" s="10"/>
      <c r="K212" s="10" t="s">
        <v>68</v>
      </c>
      <c r="L212" s="10" t="s">
        <v>1204</v>
      </c>
      <c r="M212" s="10" t="s">
        <v>657</v>
      </c>
      <c r="N212" s="10" t="s">
        <v>1205</v>
      </c>
      <c r="O212" s="12" t="s">
        <v>32</v>
      </c>
      <c r="P212" s="12" t="s">
        <v>1896</v>
      </c>
      <c r="Q212" s="12" t="s">
        <v>2149</v>
      </c>
      <c r="R212" s="12" t="s">
        <v>1932</v>
      </c>
      <c r="S212" s="12" t="s">
        <v>1897</v>
      </c>
      <c r="T212" s="12"/>
      <c r="U212" s="12"/>
    </row>
    <row r="213" spans="1:21" ht="169" x14ac:dyDescent="0.35">
      <c r="A213" s="10" t="s">
        <v>1206</v>
      </c>
      <c r="B213" s="10" t="s">
        <v>1086</v>
      </c>
      <c r="C213" s="10" t="s">
        <v>458</v>
      </c>
      <c r="D213" s="10" t="s">
        <v>651</v>
      </c>
      <c r="E213" s="10" t="s">
        <v>652</v>
      </c>
      <c r="F213" s="10" t="s">
        <v>679</v>
      </c>
      <c r="G213" s="10" t="s">
        <v>1207</v>
      </c>
      <c r="H213" s="10" t="s">
        <v>655</v>
      </c>
      <c r="I213" s="10" t="s">
        <v>67</v>
      </c>
      <c r="J213" s="10"/>
      <c r="K213" s="10" t="s">
        <v>254</v>
      </c>
      <c r="L213" s="10" t="s">
        <v>255</v>
      </c>
      <c r="M213" s="10" t="s">
        <v>657</v>
      </c>
      <c r="N213" s="10" t="s">
        <v>1208</v>
      </c>
      <c r="O213" s="12" t="s">
        <v>32</v>
      </c>
      <c r="P213" s="12" t="s">
        <v>1896</v>
      </c>
      <c r="Q213" s="12" t="s">
        <v>2150</v>
      </c>
      <c r="R213" s="12" t="s">
        <v>2151</v>
      </c>
      <c r="S213" s="12" t="s">
        <v>1897</v>
      </c>
      <c r="T213" s="12"/>
      <c r="U213" s="12"/>
    </row>
    <row r="214" spans="1:21" ht="130" x14ac:dyDescent="0.35">
      <c r="A214" s="10" t="s">
        <v>1209</v>
      </c>
      <c r="B214" s="10" t="s">
        <v>1086</v>
      </c>
      <c r="C214" s="10" t="s">
        <v>458</v>
      </c>
      <c r="D214" s="10" t="s">
        <v>783</v>
      </c>
      <c r="E214" s="10" t="s">
        <v>784</v>
      </c>
      <c r="F214" s="10" t="s">
        <v>1210</v>
      </c>
      <c r="G214" s="10" t="s">
        <v>1211</v>
      </c>
      <c r="H214" s="10" t="s">
        <v>787</v>
      </c>
      <c r="I214" s="10" t="s">
        <v>67</v>
      </c>
      <c r="J214" s="10"/>
      <c r="K214" s="10" t="s">
        <v>254</v>
      </c>
      <c r="L214" s="10" t="s">
        <v>255</v>
      </c>
      <c r="M214" s="10" t="s">
        <v>789</v>
      </c>
      <c r="N214" s="10" t="s">
        <v>1212</v>
      </c>
      <c r="O214" s="12" t="s">
        <v>32</v>
      </c>
      <c r="P214" s="12" t="s">
        <v>1896</v>
      </c>
      <c r="Q214" s="12" t="s">
        <v>2152</v>
      </c>
      <c r="R214" s="12" t="s">
        <v>2025</v>
      </c>
      <c r="S214" s="12" t="s">
        <v>1897</v>
      </c>
      <c r="T214" s="12"/>
      <c r="U214" s="12"/>
    </row>
    <row r="215" spans="1:21" ht="130" x14ac:dyDescent="0.35">
      <c r="A215" s="10" t="s">
        <v>1213</v>
      </c>
      <c r="B215" s="10" t="s">
        <v>1086</v>
      </c>
      <c r="C215" s="10" t="s">
        <v>458</v>
      </c>
      <c r="D215" s="10" t="s">
        <v>812</v>
      </c>
      <c r="E215" s="10" t="s">
        <v>813</v>
      </c>
      <c r="F215" s="10" t="s">
        <v>1214</v>
      </c>
      <c r="G215" s="10" t="s">
        <v>1215</v>
      </c>
      <c r="H215" s="10" t="s">
        <v>816</v>
      </c>
      <c r="I215" s="10" t="s">
        <v>67</v>
      </c>
      <c r="J215" s="10"/>
      <c r="K215" s="10" t="s">
        <v>254</v>
      </c>
      <c r="L215" s="10" t="s">
        <v>255</v>
      </c>
      <c r="M215" s="10" t="s">
        <v>818</v>
      </c>
      <c r="N215" s="10" t="s">
        <v>1216</v>
      </c>
      <c r="O215" s="12" t="s">
        <v>31</v>
      </c>
      <c r="P215" s="12" t="s">
        <v>1898</v>
      </c>
      <c r="Q215" s="12" t="s">
        <v>1919</v>
      </c>
      <c r="R215" s="12" t="s">
        <v>2136</v>
      </c>
      <c r="S215" s="12" t="s">
        <v>1935</v>
      </c>
      <c r="T215" s="12"/>
      <c r="U215" s="12"/>
    </row>
    <row r="216" spans="1:21" ht="130" x14ac:dyDescent="0.35">
      <c r="A216" s="10" t="s">
        <v>1217</v>
      </c>
      <c r="B216" s="10" t="s">
        <v>1086</v>
      </c>
      <c r="C216" s="10" t="s">
        <v>825</v>
      </c>
      <c r="D216" s="10" t="s">
        <v>858</v>
      </c>
      <c r="E216" s="10" t="s">
        <v>859</v>
      </c>
      <c r="F216" s="10" t="s">
        <v>1218</v>
      </c>
      <c r="G216" s="10" t="s">
        <v>1219</v>
      </c>
      <c r="H216" s="10" t="s">
        <v>862</v>
      </c>
      <c r="I216" s="10" t="s">
        <v>67</v>
      </c>
      <c r="J216" s="10"/>
      <c r="K216" s="10" t="s">
        <v>254</v>
      </c>
      <c r="L216" s="10" t="s">
        <v>255</v>
      </c>
      <c r="M216" s="10" t="s">
        <v>864</v>
      </c>
      <c r="N216" s="10" t="s">
        <v>1220</v>
      </c>
      <c r="O216" s="12" t="s">
        <v>32</v>
      </c>
      <c r="P216" s="12" t="s">
        <v>1896</v>
      </c>
      <c r="Q216" s="12" t="s">
        <v>1920</v>
      </c>
      <c r="R216" s="12" t="s">
        <v>2025</v>
      </c>
      <c r="S216" s="12" t="s">
        <v>1897</v>
      </c>
      <c r="T216" s="12"/>
      <c r="U216" s="12"/>
    </row>
    <row r="217" spans="1:21" ht="169" x14ac:dyDescent="0.35">
      <c r="A217" s="10" t="s">
        <v>1221</v>
      </c>
      <c r="B217" s="10" t="s">
        <v>1086</v>
      </c>
      <c r="C217" s="10" t="s">
        <v>825</v>
      </c>
      <c r="D217" s="10" t="s">
        <v>902</v>
      </c>
      <c r="E217" s="10" t="s">
        <v>903</v>
      </c>
      <c r="F217" s="10" t="s">
        <v>1222</v>
      </c>
      <c r="G217" s="10" t="s">
        <v>1223</v>
      </c>
      <c r="H217" s="10" t="s">
        <v>906</v>
      </c>
      <c r="I217" s="10" t="s">
        <v>67</v>
      </c>
      <c r="J217" s="10"/>
      <c r="K217" s="10" t="s">
        <v>254</v>
      </c>
      <c r="L217" s="10" t="s">
        <v>255</v>
      </c>
      <c r="M217" s="10" t="s">
        <v>907</v>
      </c>
      <c r="N217" s="10" t="s">
        <v>1224</v>
      </c>
      <c r="O217" s="12" t="s">
        <v>32</v>
      </c>
      <c r="P217" s="12" t="s">
        <v>1896</v>
      </c>
      <c r="Q217" s="12" t="s">
        <v>1921</v>
      </c>
      <c r="R217" s="12" t="s">
        <v>2018</v>
      </c>
      <c r="S217" s="12" t="s">
        <v>1935</v>
      </c>
      <c r="T217" s="12"/>
      <c r="U217" s="12"/>
    </row>
  </sheetData>
  <autoFilter ref="A6:U217" xr:uid="{00000000-0009-0000-0000-000002000000}"/>
  <dataValidations count="3">
    <dataValidation type="list" allowBlank="1" sqref="O7:O217" xr:uid="{00000000-0002-0000-0200-000000000000}">
      <formula1>"Fully supported,Partially supported,Requires development,Not supported,Clarification required"</formula1>
      <formula2>0</formula2>
    </dataValidation>
    <dataValidation type="list" allowBlank="1" sqref="P7:P217" xr:uid="{00000000-0002-0000-0200-000001000000}">
      <formula1>"Standard product capability,Configuration,Extension of existing asset,Custom development,Third-party service,Combination,Not proposed"</formula1>
      <formula2>0</formula2>
    </dataValidation>
    <dataValidation type="list" allowBlank="1" sqref="T7:T217" xr:uid="{00000000-0002-0000-0200-000002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8.6328125" defaultRowHeight="14.5" x14ac:dyDescent="0.35"/>
  <cols>
    <col min="1" max="1" width="11" customWidth="1"/>
    <col min="2" max="2" width="20" customWidth="1"/>
    <col min="3" max="3" width="28" customWidth="1"/>
    <col min="4" max="4" width="60" customWidth="1"/>
    <col min="5" max="5" width="30" customWidth="1"/>
    <col min="6" max="6" width="14" customWidth="1"/>
    <col min="7" max="9" width="34" customWidth="1"/>
    <col min="10" max="10" width="28" customWidth="1"/>
    <col min="11" max="11" width="12" customWidth="1"/>
  </cols>
  <sheetData>
    <row r="1" spans="1:11" x14ac:dyDescent="0.35">
      <c r="A1" s="1" t="s">
        <v>0</v>
      </c>
    </row>
    <row r="2" spans="1:11" ht="21" x14ac:dyDescent="0.5">
      <c r="A2" s="2" t="s">
        <v>1225</v>
      </c>
    </row>
    <row r="3" spans="1:11" x14ac:dyDescent="0.35">
      <c r="A3" s="3" t="s">
        <v>1226</v>
      </c>
    </row>
    <row r="4" spans="1:11" x14ac:dyDescent="0.35">
      <c r="A4" s="4" t="s">
        <v>3</v>
      </c>
    </row>
    <row r="6" spans="1:11" ht="42" customHeight="1" x14ac:dyDescent="0.35">
      <c r="A6" s="9" t="s">
        <v>39</v>
      </c>
      <c r="B6" s="9" t="s">
        <v>40</v>
      </c>
      <c r="C6" s="9" t="s">
        <v>1227</v>
      </c>
      <c r="D6" s="9" t="s">
        <v>1228</v>
      </c>
      <c r="E6" s="9" t="s">
        <v>1229</v>
      </c>
      <c r="F6" s="9" t="s">
        <v>52</v>
      </c>
      <c r="G6" s="11" t="s">
        <v>1230</v>
      </c>
      <c r="H6" s="11" t="s">
        <v>1231</v>
      </c>
      <c r="I6" s="11" t="s">
        <v>1232</v>
      </c>
      <c r="J6" s="11" t="s">
        <v>1233</v>
      </c>
      <c r="K6" s="11" t="s">
        <v>58</v>
      </c>
    </row>
    <row r="7" spans="1:11" ht="39" x14ac:dyDescent="0.35">
      <c r="A7" s="10" t="s">
        <v>1234</v>
      </c>
      <c r="B7" s="10" t="s">
        <v>1012</v>
      </c>
      <c r="C7" s="10" t="s">
        <v>1235</v>
      </c>
      <c r="D7" s="10" t="s">
        <v>1236</v>
      </c>
      <c r="E7" s="10" t="s">
        <v>1237</v>
      </c>
      <c r="F7" s="10" t="s">
        <v>1238</v>
      </c>
      <c r="G7" s="12"/>
      <c r="H7" s="12"/>
      <c r="I7" s="12"/>
      <c r="J7" s="12"/>
      <c r="K7" s="12"/>
    </row>
    <row r="8" spans="1:11" ht="39" x14ac:dyDescent="0.35">
      <c r="A8" s="10" t="s">
        <v>1239</v>
      </c>
      <c r="B8" s="10" t="s">
        <v>1012</v>
      </c>
      <c r="C8" s="10" t="s">
        <v>1240</v>
      </c>
      <c r="D8" s="10" t="s">
        <v>1241</v>
      </c>
      <c r="E8" s="10" t="s">
        <v>1237</v>
      </c>
      <c r="F8" s="10" t="s">
        <v>1242</v>
      </c>
      <c r="G8" s="12"/>
      <c r="H8" s="12"/>
      <c r="I8" s="12"/>
      <c r="J8" s="12"/>
      <c r="K8" s="12"/>
    </row>
    <row r="9" spans="1:11" ht="39" x14ac:dyDescent="0.35">
      <c r="A9" s="10" t="s">
        <v>1243</v>
      </c>
      <c r="B9" s="10" t="s">
        <v>1012</v>
      </c>
      <c r="C9" s="10" t="s">
        <v>1244</v>
      </c>
      <c r="D9" s="10" t="s">
        <v>1245</v>
      </c>
      <c r="E9" s="10" t="s">
        <v>1237</v>
      </c>
      <c r="F9" s="10" t="s">
        <v>1246</v>
      </c>
      <c r="G9" s="12"/>
      <c r="H9" s="12"/>
      <c r="I9" s="12"/>
      <c r="J9" s="12"/>
      <c r="K9" s="12"/>
    </row>
    <row r="10" spans="1:11" ht="39" x14ac:dyDescent="0.35">
      <c r="A10" s="10" t="s">
        <v>1247</v>
      </c>
      <c r="B10" s="10" t="s">
        <v>1012</v>
      </c>
      <c r="C10" s="10" t="s">
        <v>1248</v>
      </c>
      <c r="D10" s="10" t="s">
        <v>1249</v>
      </c>
      <c r="E10" s="10" t="s">
        <v>1237</v>
      </c>
      <c r="F10" s="10" t="s">
        <v>1250</v>
      </c>
      <c r="G10" s="12"/>
      <c r="H10" s="12"/>
      <c r="I10" s="12"/>
      <c r="J10" s="12"/>
      <c r="K10" s="12"/>
    </row>
    <row r="11" spans="1:11" ht="39" x14ac:dyDescent="0.35">
      <c r="A11" s="10" t="s">
        <v>1251</v>
      </c>
      <c r="B11" s="10" t="s">
        <v>1012</v>
      </c>
      <c r="C11" s="10" t="s">
        <v>1252</v>
      </c>
      <c r="D11" s="10" t="s">
        <v>1253</v>
      </c>
      <c r="E11" s="10" t="s">
        <v>1237</v>
      </c>
      <c r="F11" s="10" t="s">
        <v>1254</v>
      </c>
      <c r="G11" s="12"/>
      <c r="H11" s="12"/>
      <c r="I11" s="12"/>
      <c r="J11" s="12"/>
      <c r="K11" s="12"/>
    </row>
    <row r="12" spans="1:11" ht="39" x14ac:dyDescent="0.35">
      <c r="A12" s="10" t="s">
        <v>1255</v>
      </c>
      <c r="B12" s="10" t="s">
        <v>1012</v>
      </c>
      <c r="C12" s="10" t="s">
        <v>1256</v>
      </c>
      <c r="D12" s="10" t="s">
        <v>1257</v>
      </c>
      <c r="E12" s="10" t="s">
        <v>1237</v>
      </c>
      <c r="F12" s="10" t="s">
        <v>1258</v>
      </c>
      <c r="G12" s="12"/>
      <c r="H12" s="12"/>
      <c r="I12" s="12"/>
      <c r="J12" s="12"/>
      <c r="K12" s="12"/>
    </row>
    <row r="13" spans="1:11" ht="39" x14ac:dyDescent="0.35">
      <c r="A13" s="10" t="s">
        <v>1259</v>
      </c>
      <c r="B13" s="10" t="s">
        <v>1012</v>
      </c>
      <c r="C13" s="10" t="s">
        <v>1260</v>
      </c>
      <c r="D13" s="10" t="s">
        <v>1261</v>
      </c>
      <c r="E13" s="10" t="s">
        <v>1237</v>
      </c>
      <c r="F13" s="10" t="s">
        <v>1262</v>
      </c>
      <c r="G13" s="12"/>
      <c r="H13" s="12"/>
      <c r="I13" s="12"/>
      <c r="J13" s="12"/>
      <c r="K13" s="12"/>
    </row>
    <row r="14" spans="1:11" ht="39" x14ac:dyDescent="0.35">
      <c r="A14" s="10" t="s">
        <v>1263</v>
      </c>
      <c r="B14" s="10" t="s">
        <v>1012</v>
      </c>
      <c r="C14" s="10" t="s">
        <v>1264</v>
      </c>
      <c r="D14" s="10" t="s">
        <v>1265</v>
      </c>
      <c r="E14" s="10" t="s">
        <v>1237</v>
      </c>
      <c r="F14" s="10" t="s">
        <v>1266</v>
      </c>
      <c r="G14" s="12"/>
      <c r="H14" s="12"/>
      <c r="I14" s="12"/>
      <c r="J14" s="12"/>
      <c r="K14" s="12"/>
    </row>
    <row r="15" spans="1:11" ht="39" x14ac:dyDescent="0.35">
      <c r="A15" s="10" t="s">
        <v>1267</v>
      </c>
      <c r="B15" s="10" t="s">
        <v>1012</v>
      </c>
      <c r="C15" s="10" t="s">
        <v>1268</v>
      </c>
      <c r="D15" s="10" t="s">
        <v>1269</v>
      </c>
      <c r="E15" s="10" t="s">
        <v>1237</v>
      </c>
      <c r="F15" s="10" t="s">
        <v>1270</v>
      </c>
      <c r="G15" s="12"/>
      <c r="H15" s="12"/>
      <c r="I15" s="12"/>
      <c r="J15" s="12"/>
      <c r="K15" s="12"/>
    </row>
    <row r="16" spans="1:11" ht="39" x14ac:dyDescent="0.35">
      <c r="A16" s="10" t="s">
        <v>1271</v>
      </c>
      <c r="B16" s="10" t="s">
        <v>1272</v>
      </c>
      <c r="C16" s="10" t="s">
        <v>1273</v>
      </c>
      <c r="D16" s="10" t="s">
        <v>1274</v>
      </c>
      <c r="E16" s="10" t="s">
        <v>1237</v>
      </c>
      <c r="F16" s="10" t="s">
        <v>1275</v>
      </c>
      <c r="G16" s="12"/>
      <c r="H16" s="12"/>
      <c r="I16" s="12"/>
      <c r="J16" s="12"/>
      <c r="K16" s="12"/>
    </row>
    <row r="17" spans="1:11" ht="39" x14ac:dyDescent="0.35">
      <c r="A17" s="10" t="s">
        <v>1276</v>
      </c>
      <c r="B17" s="10" t="s">
        <v>1272</v>
      </c>
      <c r="C17" s="10" t="s">
        <v>1277</v>
      </c>
      <c r="D17" s="10" t="s">
        <v>1278</v>
      </c>
      <c r="E17" s="10" t="s">
        <v>1237</v>
      </c>
      <c r="F17" s="10" t="s">
        <v>1279</v>
      </c>
      <c r="G17" s="12"/>
      <c r="H17" s="12"/>
      <c r="I17" s="12"/>
      <c r="J17" s="12"/>
      <c r="K17" s="12"/>
    </row>
    <row r="18" spans="1:11" ht="39" x14ac:dyDescent="0.35">
      <c r="A18" s="10" t="s">
        <v>1280</v>
      </c>
      <c r="B18" s="10" t="s">
        <v>1281</v>
      </c>
      <c r="C18" s="10" t="s">
        <v>1282</v>
      </c>
      <c r="D18" s="10" t="s">
        <v>1283</v>
      </c>
      <c r="E18" s="10" t="s">
        <v>1237</v>
      </c>
      <c r="F18" s="10" t="s">
        <v>1284</v>
      </c>
      <c r="G18" s="12"/>
      <c r="H18" s="12"/>
      <c r="I18" s="12"/>
      <c r="J18" s="12"/>
      <c r="K18" s="12"/>
    </row>
    <row r="19" spans="1:11" ht="39" x14ac:dyDescent="0.35">
      <c r="A19" s="10" t="s">
        <v>1285</v>
      </c>
      <c r="B19" s="10" t="s">
        <v>1286</v>
      </c>
      <c r="C19" s="10" t="s">
        <v>1287</v>
      </c>
      <c r="D19" s="10" t="s">
        <v>1288</v>
      </c>
      <c r="E19" s="10" t="s">
        <v>1237</v>
      </c>
      <c r="F19" s="10" t="s">
        <v>1289</v>
      </c>
      <c r="G19" s="12"/>
      <c r="H19" s="12"/>
      <c r="I19" s="12"/>
      <c r="J19" s="12"/>
      <c r="K19" s="12"/>
    </row>
    <row r="20" spans="1:11" ht="39" x14ac:dyDescent="0.35">
      <c r="A20" s="10" t="s">
        <v>1290</v>
      </c>
      <c r="B20" s="10" t="s">
        <v>1035</v>
      </c>
      <c r="C20" s="10" t="s">
        <v>1291</v>
      </c>
      <c r="D20" s="10" t="s">
        <v>1292</v>
      </c>
      <c r="E20" s="10" t="s">
        <v>1237</v>
      </c>
      <c r="F20" s="10" t="s">
        <v>1293</v>
      </c>
      <c r="G20" s="12"/>
      <c r="H20" s="12"/>
      <c r="I20" s="12"/>
      <c r="J20" s="12"/>
      <c r="K20" s="12"/>
    </row>
    <row r="21" spans="1:11" ht="39" x14ac:dyDescent="0.35">
      <c r="A21" s="10" t="s">
        <v>1294</v>
      </c>
      <c r="B21" s="10" t="s">
        <v>1295</v>
      </c>
      <c r="C21" s="10" t="s">
        <v>1296</v>
      </c>
      <c r="D21" s="10" t="s">
        <v>1297</v>
      </c>
      <c r="E21" s="10" t="s">
        <v>1237</v>
      </c>
      <c r="F21" s="10" t="s">
        <v>1298</v>
      </c>
      <c r="G21" s="12"/>
      <c r="H21" s="12"/>
      <c r="I21" s="12"/>
      <c r="J21" s="12"/>
      <c r="K21" s="12"/>
    </row>
    <row r="22" spans="1:11" ht="39" x14ac:dyDescent="0.35">
      <c r="A22" s="10" t="s">
        <v>1299</v>
      </c>
      <c r="B22" s="10" t="s">
        <v>1072</v>
      </c>
      <c r="C22" s="10" t="s">
        <v>1300</v>
      </c>
      <c r="D22" s="10" t="s">
        <v>1301</v>
      </c>
      <c r="E22" s="10" t="s">
        <v>1237</v>
      </c>
      <c r="F22" s="10" t="s">
        <v>1302</v>
      </c>
      <c r="G22" s="12"/>
      <c r="H22" s="12"/>
      <c r="I22" s="12"/>
      <c r="J22" s="12"/>
      <c r="K22" s="12"/>
    </row>
    <row r="23" spans="1:11" ht="39" x14ac:dyDescent="0.35">
      <c r="A23" s="10" t="s">
        <v>1303</v>
      </c>
      <c r="B23" s="10" t="s">
        <v>1304</v>
      </c>
      <c r="C23" s="10" t="s">
        <v>1305</v>
      </c>
      <c r="D23" s="10" t="s">
        <v>1306</v>
      </c>
      <c r="E23" s="10" t="s">
        <v>1237</v>
      </c>
      <c r="F23" s="10" t="s">
        <v>1307</v>
      </c>
      <c r="G23" s="12"/>
      <c r="H23" s="12"/>
      <c r="I23" s="12"/>
      <c r="J23" s="12"/>
      <c r="K23" s="12"/>
    </row>
    <row r="24" spans="1:11" ht="39" x14ac:dyDescent="0.35">
      <c r="A24" s="10" t="s">
        <v>1308</v>
      </c>
      <c r="B24" s="10" t="s">
        <v>1028</v>
      </c>
      <c r="C24" s="10" t="s">
        <v>1309</v>
      </c>
      <c r="D24" s="10" t="s">
        <v>1310</v>
      </c>
      <c r="E24" s="10" t="s">
        <v>1237</v>
      </c>
      <c r="F24" s="10" t="s">
        <v>1311</v>
      </c>
      <c r="G24" s="12"/>
      <c r="H24" s="12"/>
      <c r="I24" s="12"/>
      <c r="J24" s="12"/>
      <c r="K24" s="12"/>
    </row>
    <row r="25" spans="1:11" ht="39" x14ac:dyDescent="0.35">
      <c r="A25" s="10" t="s">
        <v>1312</v>
      </c>
      <c r="B25" s="10" t="s">
        <v>1313</v>
      </c>
      <c r="C25" s="10" t="s">
        <v>1314</v>
      </c>
      <c r="D25" s="10" t="s">
        <v>1315</v>
      </c>
      <c r="E25" s="10" t="s">
        <v>1237</v>
      </c>
      <c r="F25" s="10" t="s">
        <v>1316</v>
      </c>
      <c r="G25" s="12"/>
      <c r="H25" s="12"/>
      <c r="I25" s="12"/>
      <c r="J25" s="12"/>
      <c r="K25" s="12"/>
    </row>
    <row r="26" spans="1:11" ht="39" x14ac:dyDescent="0.35">
      <c r="A26" s="10" t="s">
        <v>1317</v>
      </c>
      <c r="B26" s="10" t="s">
        <v>1318</v>
      </c>
      <c r="C26" s="10" t="s">
        <v>1319</v>
      </c>
      <c r="D26" s="10" t="s">
        <v>1320</v>
      </c>
      <c r="E26" s="10" t="s">
        <v>1237</v>
      </c>
      <c r="F26" s="10" t="s">
        <v>1321</v>
      </c>
      <c r="G26" s="12"/>
      <c r="H26" s="12"/>
      <c r="I26" s="12"/>
      <c r="J26" s="12"/>
      <c r="K26" s="12"/>
    </row>
    <row r="27" spans="1:11" ht="39" x14ac:dyDescent="0.35">
      <c r="A27" s="10" t="s">
        <v>1322</v>
      </c>
      <c r="B27" s="10" t="s">
        <v>1323</v>
      </c>
      <c r="C27" s="10" t="s">
        <v>1324</v>
      </c>
      <c r="D27" s="10" t="s">
        <v>1325</v>
      </c>
      <c r="E27" s="10" t="s">
        <v>1237</v>
      </c>
      <c r="F27" s="10" t="s">
        <v>1326</v>
      </c>
      <c r="G27" s="12"/>
      <c r="H27" s="12"/>
      <c r="I27" s="12"/>
      <c r="J27" s="12"/>
      <c r="K27" s="12"/>
    </row>
  </sheetData>
  <autoFilter ref="A6:K27"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77"/>
  <sheetViews>
    <sheetView zoomScaleNormal="100" workbookViewId="0">
      <pane xSplit="1" ySplit="6" topLeftCell="F7" activePane="bottomRight" state="frozen"/>
      <selection pane="topRight" activeCell="B1" sqref="B1"/>
      <selection pane="bottomLeft" activeCell="A7" sqref="A7"/>
      <selection pane="bottomRight"/>
    </sheetView>
  </sheetViews>
  <sheetFormatPr defaultColWidth="8.6328125" defaultRowHeight="14.5" x14ac:dyDescent="0.35"/>
  <cols>
    <col min="1" max="1" width="11" customWidth="1"/>
    <col min="2" max="2" width="8" customWidth="1"/>
    <col min="3" max="3" width="28" customWidth="1"/>
    <col min="4" max="4" width="50" customWidth="1"/>
    <col min="5" max="5" width="34" customWidth="1"/>
    <col min="6" max="6" width="40" customWidth="1"/>
    <col min="7" max="7" width="9" customWidth="1"/>
    <col min="8" max="8" width="16" customWidth="1"/>
    <col min="9" max="9" width="18" customWidth="1"/>
    <col min="10" max="10" width="36" customWidth="1"/>
    <col min="11" max="11" width="26" customWidth="1"/>
    <col min="12" max="13" width="16" customWidth="1"/>
    <col min="14" max="14" width="28" customWidth="1"/>
  </cols>
  <sheetData>
    <row r="1" spans="1:14" x14ac:dyDescent="0.35">
      <c r="A1" s="1" t="s">
        <v>0</v>
      </c>
    </row>
    <row r="2" spans="1:14" ht="21" x14ac:dyDescent="0.5">
      <c r="A2" s="2" t="s">
        <v>1327</v>
      </c>
    </row>
    <row r="3" spans="1:14" x14ac:dyDescent="0.35">
      <c r="A3" s="3" t="s">
        <v>1328</v>
      </c>
    </row>
    <row r="4" spans="1:14" x14ac:dyDescent="0.35">
      <c r="A4" s="4" t="s">
        <v>3</v>
      </c>
    </row>
    <row r="6" spans="1:14" ht="42" customHeight="1" x14ac:dyDescent="0.35">
      <c r="A6" s="9" t="s">
        <v>39</v>
      </c>
      <c r="B6" s="9" t="s">
        <v>1329</v>
      </c>
      <c r="C6" s="9" t="s">
        <v>43</v>
      </c>
      <c r="D6" s="9" t="s">
        <v>45</v>
      </c>
      <c r="E6" s="9" t="s">
        <v>1330</v>
      </c>
      <c r="F6" s="9" t="s">
        <v>1331</v>
      </c>
      <c r="G6" s="9" t="s">
        <v>52</v>
      </c>
      <c r="H6" s="11" t="s">
        <v>28</v>
      </c>
      <c r="I6" s="11" t="s">
        <v>53</v>
      </c>
      <c r="J6" s="11" t="s">
        <v>1332</v>
      </c>
      <c r="K6" s="11" t="s">
        <v>1333</v>
      </c>
      <c r="L6" s="11" t="s">
        <v>1334</v>
      </c>
      <c r="M6" s="11" t="s">
        <v>1335</v>
      </c>
      <c r="N6" s="11" t="s">
        <v>1336</v>
      </c>
    </row>
    <row r="7" spans="1:14" ht="39" x14ac:dyDescent="0.35">
      <c r="A7" s="10" t="s">
        <v>1337</v>
      </c>
      <c r="B7" s="10" t="s">
        <v>1338</v>
      </c>
      <c r="C7" s="10" t="s">
        <v>1339</v>
      </c>
      <c r="D7" s="10" t="s">
        <v>1340</v>
      </c>
      <c r="E7" s="10" t="s">
        <v>1341</v>
      </c>
      <c r="F7" s="10" t="s">
        <v>1342</v>
      </c>
      <c r="G7" s="10" t="s">
        <v>1343</v>
      </c>
      <c r="H7" s="12"/>
      <c r="I7" s="12"/>
      <c r="J7" s="12"/>
      <c r="K7" s="12"/>
      <c r="L7" s="12"/>
      <c r="M7" s="12"/>
      <c r="N7" s="12"/>
    </row>
    <row r="8" spans="1:14" ht="39" x14ac:dyDescent="0.35">
      <c r="A8" s="10" t="s">
        <v>1344</v>
      </c>
      <c r="B8" s="10" t="s">
        <v>1338</v>
      </c>
      <c r="C8" s="10" t="s">
        <v>1339</v>
      </c>
      <c r="D8" s="10" t="s">
        <v>1345</v>
      </c>
      <c r="E8" s="10" t="s">
        <v>1341</v>
      </c>
      <c r="F8" s="10" t="s">
        <v>1346</v>
      </c>
      <c r="G8" s="10" t="s">
        <v>1347</v>
      </c>
      <c r="H8" s="12"/>
      <c r="I8" s="12"/>
      <c r="J8" s="12"/>
      <c r="K8" s="12"/>
      <c r="L8" s="12"/>
      <c r="M8" s="12"/>
      <c r="N8" s="12"/>
    </row>
    <row r="9" spans="1:14" ht="39" x14ac:dyDescent="0.35">
      <c r="A9" s="10" t="s">
        <v>1348</v>
      </c>
      <c r="B9" s="10" t="s">
        <v>1349</v>
      </c>
      <c r="C9" s="10" t="s">
        <v>1350</v>
      </c>
      <c r="D9" s="10" t="s">
        <v>1351</v>
      </c>
      <c r="E9" s="10" t="s">
        <v>1352</v>
      </c>
      <c r="F9" s="10" t="s">
        <v>1353</v>
      </c>
      <c r="G9" s="10" t="s">
        <v>1354</v>
      </c>
      <c r="H9" s="12"/>
      <c r="I9" s="12"/>
      <c r="J9" s="12"/>
      <c r="K9" s="12"/>
      <c r="L9" s="12"/>
      <c r="M9" s="12"/>
      <c r="N9" s="12"/>
    </row>
    <row r="10" spans="1:14" ht="39" x14ac:dyDescent="0.35">
      <c r="A10" s="10" t="s">
        <v>1355</v>
      </c>
      <c r="B10" s="10" t="s">
        <v>1349</v>
      </c>
      <c r="C10" s="10" t="s">
        <v>1350</v>
      </c>
      <c r="D10" s="10" t="s">
        <v>1356</v>
      </c>
      <c r="E10" s="10" t="s">
        <v>1352</v>
      </c>
      <c r="F10" s="10" t="s">
        <v>1357</v>
      </c>
      <c r="G10" s="10" t="s">
        <v>1358</v>
      </c>
      <c r="H10" s="12"/>
      <c r="I10" s="12"/>
      <c r="J10" s="12"/>
      <c r="K10" s="12"/>
      <c r="L10" s="12"/>
      <c r="M10" s="12"/>
      <c r="N10" s="12"/>
    </row>
    <row r="11" spans="1:14" ht="26" x14ac:dyDescent="0.35">
      <c r="A11" s="10" t="s">
        <v>1359</v>
      </c>
      <c r="B11" s="10" t="s">
        <v>1360</v>
      </c>
      <c r="C11" s="10" t="s">
        <v>1361</v>
      </c>
      <c r="D11" s="10" t="s">
        <v>1362</v>
      </c>
      <c r="E11" s="10" t="s">
        <v>1363</v>
      </c>
      <c r="F11" s="10" t="s">
        <v>1364</v>
      </c>
      <c r="G11" s="10" t="s">
        <v>1365</v>
      </c>
      <c r="H11" s="12"/>
      <c r="I11" s="12"/>
      <c r="J11" s="12"/>
      <c r="K11" s="12"/>
      <c r="L11" s="12"/>
      <c r="M11" s="12"/>
      <c r="N11" s="12"/>
    </row>
    <row r="12" spans="1:14" ht="26" x14ac:dyDescent="0.35">
      <c r="A12" s="10" t="s">
        <v>1366</v>
      </c>
      <c r="B12" s="10" t="s">
        <v>1360</v>
      </c>
      <c r="C12" s="10" t="s">
        <v>1361</v>
      </c>
      <c r="D12" s="10" t="s">
        <v>1367</v>
      </c>
      <c r="E12" s="10" t="s">
        <v>1363</v>
      </c>
      <c r="F12" s="10" t="s">
        <v>1368</v>
      </c>
      <c r="G12" s="10" t="s">
        <v>1369</v>
      </c>
      <c r="H12" s="12"/>
      <c r="I12" s="12"/>
      <c r="J12" s="12"/>
      <c r="K12" s="12"/>
      <c r="L12" s="12"/>
      <c r="M12" s="12"/>
      <c r="N12" s="12"/>
    </row>
    <row r="13" spans="1:14" ht="26" x14ac:dyDescent="0.35">
      <c r="A13" s="10" t="s">
        <v>1370</v>
      </c>
      <c r="B13" s="10" t="s">
        <v>1360</v>
      </c>
      <c r="C13" s="10" t="s">
        <v>1361</v>
      </c>
      <c r="D13" s="10" t="s">
        <v>1371</v>
      </c>
      <c r="E13" s="10" t="s">
        <v>1363</v>
      </c>
      <c r="F13" s="10" t="s">
        <v>1372</v>
      </c>
      <c r="G13" s="10" t="s">
        <v>1373</v>
      </c>
      <c r="H13" s="12"/>
      <c r="I13" s="12"/>
      <c r="J13" s="12"/>
      <c r="K13" s="12"/>
      <c r="L13" s="12"/>
      <c r="M13" s="12"/>
      <c r="N13" s="12"/>
    </row>
    <row r="14" spans="1:14" ht="39" x14ac:dyDescent="0.35">
      <c r="A14" s="10" t="s">
        <v>1374</v>
      </c>
      <c r="B14" s="10" t="s">
        <v>1375</v>
      </c>
      <c r="C14" s="10" t="s">
        <v>1376</v>
      </c>
      <c r="D14" s="10" t="s">
        <v>1377</v>
      </c>
      <c r="E14" s="10" t="s">
        <v>1378</v>
      </c>
      <c r="F14" s="10" t="s">
        <v>1379</v>
      </c>
      <c r="G14" s="10" t="s">
        <v>1380</v>
      </c>
      <c r="H14" s="12"/>
      <c r="I14" s="12"/>
      <c r="J14" s="12"/>
      <c r="K14" s="12"/>
      <c r="L14" s="12"/>
      <c r="M14" s="12"/>
      <c r="N14" s="12"/>
    </row>
    <row r="15" spans="1:14" ht="39" x14ac:dyDescent="0.35">
      <c r="A15" s="10" t="s">
        <v>1381</v>
      </c>
      <c r="B15" s="10" t="s">
        <v>1375</v>
      </c>
      <c r="C15" s="10" t="s">
        <v>1376</v>
      </c>
      <c r="D15" s="10" t="s">
        <v>1382</v>
      </c>
      <c r="E15" s="10" t="s">
        <v>1378</v>
      </c>
      <c r="F15" s="10" t="s">
        <v>1383</v>
      </c>
      <c r="G15" s="10" t="s">
        <v>1384</v>
      </c>
      <c r="H15" s="12"/>
      <c r="I15" s="12"/>
      <c r="J15" s="12"/>
      <c r="K15" s="12"/>
      <c r="L15" s="12"/>
      <c r="M15" s="12"/>
      <c r="N15" s="12"/>
    </row>
    <row r="16" spans="1:14" ht="39" x14ac:dyDescent="0.35">
      <c r="A16" s="10" t="s">
        <v>1385</v>
      </c>
      <c r="B16" s="10" t="s">
        <v>1375</v>
      </c>
      <c r="C16" s="10" t="s">
        <v>1376</v>
      </c>
      <c r="D16" s="10" t="s">
        <v>1386</v>
      </c>
      <c r="E16" s="10" t="s">
        <v>1378</v>
      </c>
      <c r="F16" s="10" t="s">
        <v>1387</v>
      </c>
      <c r="G16" s="10" t="s">
        <v>1388</v>
      </c>
      <c r="H16" s="12"/>
      <c r="I16" s="12"/>
      <c r="J16" s="12"/>
      <c r="K16" s="12"/>
      <c r="L16" s="12"/>
      <c r="M16" s="12"/>
      <c r="N16" s="12"/>
    </row>
    <row r="17" spans="1:14" ht="39" x14ac:dyDescent="0.35">
      <c r="A17" s="10" t="s">
        <v>1389</v>
      </c>
      <c r="B17" s="10" t="s">
        <v>1375</v>
      </c>
      <c r="C17" s="10" t="s">
        <v>1376</v>
      </c>
      <c r="D17" s="10" t="s">
        <v>1390</v>
      </c>
      <c r="E17" s="10" t="s">
        <v>1378</v>
      </c>
      <c r="F17" s="10" t="s">
        <v>1391</v>
      </c>
      <c r="G17" s="10" t="s">
        <v>1392</v>
      </c>
      <c r="H17" s="12"/>
      <c r="I17" s="12"/>
      <c r="J17" s="12"/>
      <c r="K17" s="12"/>
      <c r="L17" s="12"/>
      <c r="M17" s="12"/>
      <c r="N17" s="12"/>
    </row>
    <row r="18" spans="1:14" ht="26" x14ac:dyDescent="0.35">
      <c r="A18" s="10" t="s">
        <v>1393</v>
      </c>
      <c r="B18" s="10" t="s">
        <v>1394</v>
      </c>
      <c r="C18" s="10" t="s">
        <v>1395</v>
      </c>
      <c r="D18" s="10" t="s">
        <v>1396</v>
      </c>
      <c r="E18" s="10" t="s">
        <v>1397</v>
      </c>
      <c r="F18" s="10" t="s">
        <v>1398</v>
      </c>
      <c r="G18" s="10" t="s">
        <v>1399</v>
      </c>
      <c r="H18" s="12"/>
      <c r="I18" s="12"/>
      <c r="J18" s="12"/>
      <c r="K18" s="12"/>
      <c r="L18" s="12"/>
      <c r="M18" s="12"/>
      <c r="N18" s="12"/>
    </row>
    <row r="19" spans="1:14" ht="39" x14ac:dyDescent="0.35">
      <c r="A19" s="10" t="s">
        <v>1400</v>
      </c>
      <c r="B19" s="10" t="s">
        <v>1401</v>
      </c>
      <c r="C19" s="10" t="s">
        <v>1402</v>
      </c>
      <c r="D19" s="10" t="s">
        <v>1403</v>
      </c>
      <c r="E19" s="10" t="s">
        <v>1404</v>
      </c>
      <c r="F19" s="10" t="s">
        <v>1405</v>
      </c>
      <c r="G19" s="10" t="s">
        <v>1406</v>
      </c>
      <c r="H19" s="12"/>
      <c r="I19" s="12"/>
      <c r="J19" s="12"/>
      <c r="K19" s="12"/>
      <c r="L19" s="12"/>
      <c r="M19" s="12"/>
      <c r="N19" s="12"/>
    </row>
    <row r="20" spans="1:14" ht="39" x14ac:dyDescent="0.35">
      <c r="A20" s="10" t="s">
        <v>1407</v>
      </c>
      <c r="B20" s="10" t="s">
        <v>1401</v>
      </c>
      <c r="C20" s="10" t="s">
        <v>1402</v>
      </c>
      <c r="D20" s="10" t="s">
        <v>1408</v>
      </c>
      <c r="E20" s="10" t="s">
        <v>1404</v>
      </c>
      <c r="F20" s="10" t="s">
        <v>1409</v>
      </c>
      <c r="G20" s="10" t="s">
        <v>1410</v>
      </c>
      <c r="H20" s="12"/>
      <c r="I20" s="12"/>
      <c r="J20" s="12"/>
      <c r="K20" s="12"/>
      <c r="L20" s="12"/>
      <c r="M20" s="12"/>
      <c r="N20" s="12"/>
    </row>
    <row r="21" spans="1:14" ht="39" x14ac:dyDescent="0.35">
      <c r="A21" s="10" t="s">
        <v>1411</v>
      </c>
      <c r="B21" s="10" t="s">
        <v>1401</v>
      </c>
      <c r="C21" s="10" t="s">
        <v>1402</v>
      </c>
      <c r="D21" s="10" t="s">
        <v>1412</v>
      </c>
      <c r="E21" s="10" t="s">
        <v>1404</v>
      </c>
      <c r="F21" s="10" t="s">
        <v>1413</v>
      </c>
      <c r="G21" s="10" t="s">
        <v>1414</v>
      </c>
      <c r="H21" s="12"/>
      <c r="I21" s="12"/>
      <c r="J21" s="12"/>
      <c r="K21" s="12"/>
      <c r="L21" s="12"/>
      <c r="M21" s="12"/>
      <c r="N21" s="12"/>
    </row>
    <row r="22" spans="1:14" ht="39" x14ac:dyDescent="0.35">
      <c r="A22" s="10" t="s">
        <v>1415</v>
      </c>
      <c r="B22" s="10" t="s">
        <v>1401</v>
      </c>
      <c r="C22" s="10" t="s">
        <v>1402</v>
      </c>
      <c r="D22" s="10" t="s">
        <v>1416</v>
      </c>
      <c r="E22" s="10" t="s">
        <v>1404</v>
      </c>
      <c r="F22" s="10" t="s">
        <v>1417</v>
      </c>
      <c r="G22" s="10" t="s">
        <v>1418</v>
      </c>
      <c r="H22" s="12"/>
      <c r="I22" s="12"/>
      <c r="J22" s="12"/>
      <c r="K22" s="12"/>
      <c r="L22" s="12"/>
      <c r="M22" s="12"/>
      <c r="N22" s="12"/>
    </row>
    <row r="23" spans="1:14" ht="39" x14ac:dyDescent="0.35">
      <c r="A23" s="10" t="s">
        <v>1419</v>
      </c>
      <c r="B23" s="10" t="s">
        <v>1401</v>
      </c>
      <c r="C23" s="10" t="s">
        <v>1402</v>
      </c>
      <c r="D23" s="10" t="s">
        <v>1420</v>
      </c>
      <c r="E23" s="10" t="s">
        <v>1404</v>
      </c>
      <c r="F23" s="10" t="s">
        <v>1421</v>
      </c>
      <c r="G23" s="10" t="s">
        <v>1422</v>
      </c>
      <c r="H23" s="12"/>
      <c r="I23" s="12"/>
      <c r="J23" s="12"/>
      <c r="K23" s="12"/>
      <c r="L23" s="12"/>
      <c r="M23" s="12"/>
      <c r="N23" s="12"/>
    </row>
    <row r="24" spans="1:14" ht="52" x14ac:dyDescent="0.35">
      <c r="A24" s="10" t="s">
        <v>1423</v>
      </c>
      <c r="B24" s="10" t="s">
        <v>1424</v>
      </c>
      <c r="C24" s="10" t="s">
        <v>1425</v>
      </c>
      <c r="D24" s="10" t="s">
        <v>1426</v>
      </c>
      <c r="E24" s="10" t="s">
        <v>1427</v>
      </c>
      <c r="F24" s="10" t="s">
        <v>1428</v>
      </c>
      <c r="G24" s="10" t="s">
        <v>1429</v>
      </c>
      <c r="H24" s="12"/>
      <c r="I24" s="12"/>
      <c r="J24" s="12"/>
      <c r="K24" s="12"/>
      <c r="L24" s="12"/>
      <c r="M24" s="12"/>
      <c r="N24" s="12"/>
    </row>
    <row r="25" spans="1:14" ht="52" x14ac:dyDescent="0.35">
      <c r="A25" s="10" t="s">
        <v>1430</v>
      </c>
      <c r="B25" s="10" t="s">
        <v>1424</v>
      </c>
      <c r="C25" s="10" t="s">
        <v>1425</v>
      </c>
      <c r="D25" s="10" t="s">
        <v>1431</v>
      </c>
      <c r="E25" s="10" t="s">
        <v>1427</v>
      </c>
      <c r="F25" s="10" t="s">
        <v>1432</v>
      </c>
      <c r="G25" s="10" t="s">
        <v>1433</v>
      </c>
      <c r="H25" s="12"/>
      <c r="I25" s="12"/>
      <c r="J25" s="12"/>
      <c r="K25" s="12"/>
      <c r="L25" s="12"/>
      <c r="M25" s="12"/>
      <c r="N25" s="12"/>
    </row>
    <row r="26" spans="1:14" ht="39" x14ac:dyDescent="0.35">
      <c r="A26" s="10" t="s">
        <v>1434</v>
      </c>
      <c r="B26" s="10" t="s">
        <v>1424</v>
      </c>
      <c r="C26" s="10" t="s">
        <v>1425</v>
      </c>
      <c r="D26" s="10" t="s">
        <v>1435</v>
      </c>
      <c r="E26" s="10" t="s">
        <v>1427</v>
      </c>
      <c r="F26" s="10" t="s">
        <v>1436</v>
      </c>
      <c r="G26" s="10" t="s">
        <v>1437</v>
      </c>
      <c r="H26" s="12"/>
      <c r="I26" s="12"/>
      <c r="J26" s="12"/>
      <c r="K26" s="12"/>
      <c r="L26" s="12"/>
      <c r="M26" s="12"/>
      <c r="N26" s="12"/>
    </row>
    <row r="27" spans="1:14" ht="39" x14ac:dyDescent="0.35">
      <c r="A27" s="10" t="s">
        <v>1438</v>
      </c>
      <c r="B27" s="10" t="s">
        <v>1424</v>
      </c>
      <c r="C27" s="10" t="s">
        <v>1425</v>
      </c>
      <c r="D27" s="10" t="s">
        <v>1439</v>
      </c>
      <c r="E27" s="10" t="s">
        <v>1427</v>
      </c>
      <c r="F27" s="10" t="s">
        <v>1440</v>
      </c>
      <c r="G27" s="10" t="s">
        <v>1441</v>
      </c>
      <c r="H27" s="12"/>
      <c r="I27" s="12"/>
      <c r="J27" s="12"/>
      <c r="K27" s="12"/>
      <c r="L27" s="12"/>
      <c r="M27" s="12"/>
      <c r="N27" s="12"/>
    </row>
    <row r="28" spans="1:14" ht="39" x14ac:dyDescent="0.35">
      <c r="A28" s="10" t="s">
        <v>1442</v>
      </c>
      <c r="B28" s="10" t="s">
        <v>1424</v>
      </c>
      <c r="C28" s="10" t="s">
        <v>1425</v>
      </c>
      <c r="D28" s="10" t="s">
        <v>1443</v>
      </c>
      <c r="E28" s="10" t="s">
        <v>1427</v>
      </c>
      <c r="F28" s="10" t="s">
        <v>1444</v>
      </c>
      <c r="G28" s="10" t="s">
        <v>1445</v>
      </c>
      <c r="H28" s="12"/>
      <c r="I28" s="12"/>
      <c r="J28" s="12"/>
      <c r="K28" s="12"/>
      <c r="L28" s="12"/>
      <c r="M28" s="12"/>
      <c r="N28" s="12"/>
    </row>
    <row r="29" spans="1:14" ht="39" x14ac:dyDescent="0.35">
      <c r="A29" s="10" t="s">
        <v>1446</v>
      </c>
      <c r="B29" s="10" t="s">
        <v>1447</v>
      </c>
      <c r="C29" s="10" t="s">
        <v>1448</v>
      </c>
      <c r="D29" s="10" t="s">
        <v>1449</v>
      </c>
      <c r="E29" s="10" t="s">
        <v>1450</v>
      </c>
      <c r="F29" s="10" t="s">
        <v>1451</v>
      </c>
      <c r="G29" s="10" t="s">
        <v>1452</v>
      </c>
      <c r="H29" s="12"/>
      <c r="I29" s="12"/>
      <c r="J29" s="12"/>
      <c r="K29" s="12"/>
      <c r="L29" s="12"/>
      <c r="M29" s="12"/>
      <c r="N29" s="12"/>
    </row>
    <row r="30" spans="1:14" ht="39" x14ac:dyDescent="0.35">
      <c r="A30" s="10" t="s">
        <v>1453</v>
      </c>
      <c r="B30" s="10" t="s">
        <v>1447</v>
      </c>
      <c r="C30" s="10" t="s">
        <v>1448</v>
      </c>
      <c r="D30" s="10" t="s">
        <v>1454</v>
      </c>
      <c r="E30" s="10" t="s">
        <v>1450</v>
      </c>
      <c r="F30" s="10" t="s">
        <v>1455</v>
      </c>
      <c r="G30" s="10" t="s">
        <v>1456</v>
      </c>
      <c r="H30" s="12"/>
      <c r="I30" s="12"/>
      <c r="J30" s="12"/>
      <c r="K30" s="12"/>
      <c r="L30" s="12"/>
      <c r="M30" s="12"/>
      <c r="N30" s="12"/>
    </row>
    <row r="31" spans="1:14" ht="39" x14ac:dyDescent="0.35">
      <c r="A31" s="10" t="s">
        <v>1457</v>
      </c>
      <c r="B31" s="10" t="s">
        <v>1447</v>
      </c>
      <c r="C31" s="10" t="s">
        <v>1448</v>
      </c>
      <c r="D31" s="10" t="s">
        <v>1458</v>
      </c>
      <c r="E31" s="10" t="s">
        <v>1450</v>
      </c>
      <c r="F31" s="10" t="s">
        <v>1459</v>
      </c>
      <c r="G31" s="10" t="s">
        <v>1460</v>
      </c>
      <c r="H31" s="12"/>
      <c r="I31" s="12"/>
      <c r="J31" s="12"/>
      <c r="K31" s="12"/>
      <c r="L31" s="12"/>
      <c r="M31" s="12"/>
      <c r="N31" s="12"/>
    </row>
    <row r="32" spans="1:14" ht="39" x14ac:dyDescent="0.35">
      <c r="A32" s="10" t="s">
        <v>1461</v>
      </c>
      <c r="B32" s="10" t="s">
        <v>1447</v>
      </c>
      <c r="C32" s="10" t="s">
        <v>1448</v>
      </c>
      <c r="D32" s="10" t="s">
        <v>1462</v>
      </c>
      <c r="E32" s="10" t="s">
        <v>1450</v>
      </c>
      <c r="F32" s="10" t="s">
        <v>1463</v>
      </c>
      <c r="G32" s="10" t="s">
        <v>1464</v>
      </c>
      <c r="H32" s="12"/>
      <c r="I32" s="12"/>
      <c r="J32" s="12"/>
      <c r="K32" s="12"/>
      <c r="L32" s="12"/>
      <c r="M32" s="12"/>
      <c r="N32" s="12"/>
    </row>
    <row r="33" spans="1:14" ht="39" x14ac:dyDescent="0.35">
      <c r="A33" s="10" t="s">
        <v>1465</v>
      </c>
      <c r="B33" s="10" t="s">
        <v>1447</v>
      </c>
      <c r="C33" s="10" t="s">
        <v>1448</v>
      </c>
      <c r="D33" s="10" t="s">
        <v>1466</v>
      </c>
      <c r="E33" s="10" t="s">
        <v>1450</v>
      </c>
      <c r="F33" s="10" t="s">
        <v>1467</v>
      </c>
      <c r="G33" s="10" t="s">
        <v>1468</v>
      </c>
      <c r="H33" s="12"/>
      <c r="I33" s="12"/>
      <c r="J33" s="12"/>
      <c r="K33" s="12"/>
      <c r="L33" s="12"/>
      <c r="M33" s="12"/>
      <c r="N33" s="12"/>
    </row>
    <row r="34" spans="1:14" ht="39" x14ac:dyDescent="0.35">
      <c r="A34" s="10" t="s">
        <v>1469</v>
      </c>
      <c r="B34" s="10" t="s">
        <v>1447</v>
      </c>
      <c r="C34" s="10" t="s">
        <v>1448</v>
      </c>
      <c r="D34" s="10" t="s">
        <v>1470</v>
      </c>
      <c r="E34" s="10" t="s">
        <v>1450</v>
      </c>
      <c r="F34" s="10" t="s">
        <v>1471</v>
      </c>
      <c r="G34" s="10" t="s">
        <v>1472</v>
      </c>
      <c r="H34" s="12"/>
      <c r="I34" s="12"/>
      <c r="J34" s="12"/>
      <c r="K34" s="12"/>
      <c r="L34" s="12"/>
      <c r="M34" s="12"/>
      <c r="N34" s="12"/>
    </row>
    <row r="35" spans="1:14" ht="39" x14ac:dyDescent="0.35">
      <c r="A35" s="10" t="s">
        <v>1473</v>
      </c>
      <c r="B35" s="10" t="s">
        <v>1447</v>
      </c>
      <c r="C35" s="10" t="s">
        <v>1448</v>
      </c>
      <c r="D35" s="10" t="s">
        <v>1474</v>
      </c>
      <c r="E35" s="10" t="s">
        <v>1450</v>
      </c>
      <c r="F35" s="10" t="s">
        <v>1475</v>
      </c>
      <c r="G35" s="10" t="s">
        <v>1476</v>
      </c>
      <c r="H35" s="12"/>
      <c r="I35" s="12"/>
      <c r="J35" s="12"/>
      <c r="K35" s="12"/>
      <c r="L35" s="12"/>
      <c r="M35" s="12"/>
      <c r="N35" s="12"/>
    </row>
    <row r="36" spans="1:14" ht="39" x14ac:dyDescent="0.35">
      <c r="A36" s="10" t="s">
        <v>1477</v>
      </c>
      <c r="B36" s="10" t="s">
        <v>1447</v>
      </c>
      <c r="C36" s="10" t="s">
        <v>1448</v>
      </c>
      <c r="D36" s="10" t="s">
        <v>1478</v>
      </c>
      <c r="E36" s="10" t="s">
        <v>1450</v>
      </c>
      <c r="F36" s="10" t="s">
        <v>1479</v>
      </c>
      <c r="G36" s="10" t="s">
        <v>1480</v>
      </c>
      <c r="H36" s="12"/>
      <c r="I36" s="12"/>
      <c r="J36" s="12"/>
      <c r="K36" s="12"/>
      <c r="L36" s="12"/>
      <c r="M36" s="12"/>
      <c r="N36" s="12"/>
    </row>
    <row r="37" spans="1:14" ht="39" x14ac:dyDescent="0.35">
      <c r="A37" s="10" t="s">
        <v>1481</v>
      </c>
      <c r="B37" s="10" t="s">
        <v>1447</v>
      </c>
      <c r="C37" s="10" t="s">
        <v>1448</v>
      </c>
      <c r="D37" s="10" t="s">
        <v>1482</v>
      </c>
      <c r="E37" s="10" t="s">
        <v>1450</v>
      </c>
      <c r="F37" s="10" t="s">
        <v>1483</v>
      </c>
      <c r="G37" s="10" t="s">
        <v>1484</v>
      </c>
      <c r="H37" s="12"/>
      <c r="I37" s="12"/>
      <c r="J37" s="12"/>
      <c r="K37" s="12"/>
      <c r="L37" s="12"/>
      <c r="M37" s="12"/>
      <c r="N37" s="12"/>
    </row>
    <row r="38" spans="1:14" ht="39" x14ac:dyDescent="0.35">
      <c r="A38" s="10" t="s">
        <v>1485</v>
      </c>
      <c r="B38" s="10" t="s">
        <v>1447</v>
      </c>
      <c r="C38" s="10" t="s">
        <v>1448</v>
      </c>
      <c r="D38" s="10" t="s">
        <v>1486</v>
      </c>
      <c r="E38" s="10" t="s">
        <v>1450</v>
      </c>
      <c r="F38" s="10" t="s">
        <v>1487</v>
      </c>
      <c r="G38" s="10" t="s">
        <v>1488</v>
      </c>
      <c r="H38" s="12"/>
      <c r="I38" s="12"/>
      <c r="J38" s="12"/>
      <c r="K38" s="12"/>
      <c r="L38" s="12"/>
      <c r="M38" s="12"/>
      <c r="N38" s="12"/>
    </row>
    <row r="39" spans="1:14" ht="39" x14ac:dyDescent="0.35">
      <c r="A39" s="10" t="s">
        <v>1489</v>
      </c>
      <c r="B39" s="10" t="s">
        <v>1490</v>
      </c>
      <c r="C39" s="10" t="s">
        <v>1491</v>
      </c>
      <c r="D39" s="10" t="s">
        <v>1492</v>
      </c>
      <c r="E39" s="10" t="s">
        <v>1493</v>
      </c>
      <c r="F39" s="10" t="s">
        <v>1494</v>
      </c>
      <c r="G39" s="10" t="s">
        <v>1495</v>
      </c>
      <c r="H39" s="12"/>
      <c r="I39" s="12"/>
      <c r="J39" s="12"/>
      <c r="K39" s="12"/>
      <c r="L39" s="12"/>
      <c r="M39" s="12"/>
      <c r="N39" s="12"/>
    </row>
    <row r="40" spans="1:14" ht="39" x14ac:dyDescent="0.35">
      <c r="A40" s="10" t="s">
        <v>1496</v>
      </c>
      <c r="B40" s="10" t="s">
        <v>1490</v>
      </c>
      <c r="C40" s="10" t="s">
        <v>1491</v>
      </c>
      <c r="D40" s="10" t="s">
        <v>1497</v>
      </c>
      <c r="E40" s="10" t="s">
        <v>1493</v>
      </c>
      <c r="F40" s="10" t="s">
        <v>1498</v>
      </c>
      <c r="G40" s="10" t="s">
        <v>1499</v>
      </c>
      <c r="H40" s="12"/>
      <c r="I40" s="12"/>
      <c r="J40" s="12"/>
      <c r="K40" s="12"/>
      <c r="L40" s="12"/>
      <c r="M40" s="12"/>
      <c r="N40" s="12"/>
    </row>
    <row r="41" spans="1:14" ht="39" x14ac:dyDescent="0.35">
      <c r="A41" s="10" t="s">
        <v>1500</v>
      </c>
      <c r="B41" s="10" t="s">
        <v>1490</v>
      </c>
      <c r="C41" s="10" t="s">
        <v>1491</v>
      </c>
      <c r="D41" s="10" t="s">
        <v>1501</v>
      </c>
      <c r="E41" s="10" t="s">
        <v>1493</v>
      </c>
      <c r="F41" s="10" t="s">
        <v>1502</v>
      </c>
      <c r="G41" s="10" t="s">
        <v>1503</v>
      </c>
      <c r="H41" s="12"/>
      <c r="I41" s="12"/>
      <c r="J41" s="12"/>
      <c r="K41" s="12"/>
      <c r="L41" s="12"/>
      <c r="M41" s="12"/>
      <c r="N41" s="12"/>
    </row>
    <row r="42" spans="1:14" ht="39" x14ac:dyDescent="0.35">
      <c r="A42" s="10" t="s">
        <v>1504</v>
      </c>
      <c r="B42" s="10" t="s">
        <v>1490</v>
      </c>
      <c r="C42" s="10" t="s">
        <v>1491</v>
      </c>
      <c r="D42" s="10" t="s">
        <v>1505</v>
      </c>
      <c r="E42" s="10" t="s">
        <v>1493</v>
      </c>
      <c r="F42" s="10" t="s">
        <v>1506</v>
      </c>
      <c r="G42" s="10" t="s">
        <v>1507</v>
      </c>
      <c r="H42" s="12"/>
      <c r="I42" s="12"/>
      <c r="J42" s="12"/>
      <c r="K42" s="12"/>
      <c r="L42" s="12"/>
      <c r="M42" s="12"/>
      <c r="N42" s="12"/>
    </row>
    <row r="43" spans="1:14" ht="39" x14ac:dyDescent="0.35">
      <c r="A43" s="10" t="s">
        <v>1508</v>
      </c>
      <c r="B43" s="10" t="s">
        <v>1490</v>
      </c>
      <c r="C43" s="10" t="s">
        <v>1491</v>
      </c>
      <c r="D43" s="10" t="s">
        <v>1509</v>
      </c>
      <c r="E43" s="10" t="s">
        <v>1493</v>
      </c>
      <c r="F43" s="10" t="s">
        <v>1510</v>
      </c>
      <c r="G43" s="10" t="s">
        <v>1511</v>
      </c>
      <c r="H43" s="12"/>
      <c r="I43" s="12"/>
      <c r="J43" s="12"/>
      <c r="K43" s="12"/>
      <c r="L43" s="12"/>
      <c r="M43" s="12"/>
      <c r="N43" s="12"/>
    </row>
    <row r="44" spans="1:14" ht="39" x14ac:dyDescent="0.35">
      <c r="A44" s="10" t="s">
        <v>1512</v>
      </c>
      <c r="B44" s="10" t="s">
        <v>1490</v>
      </c>
      <c r="C44" s="10" t="s">
        <v>1491</v>
      </c>
      <c r="D44" s="10" t="s">
        <v>1513</v>
      </c>
      <c r="E44" s="10" t="s">
        <v>1493</v>
      </c>
      <c r="F44" s="10" t="s">
        <v>1514</v>
      </c>
      <c r="G44" s="10" t="s">
        <v>1515</v>
      </c>
      <c r="H44" s="12"/>
      <c r="I44" s="12"/>
      <c r="J44" s="12"/>
      <c r="K44" s="12"/>
      <c r="L44" s="12"/>
      <c r="M44" s="12"/>
      <c r="N44" s="12"/>
    </row>
    <row r="45" spans="1:14" ht="39" x14ac:dyDescent="0.35">
      <c r="A45" s="10" t="s">
        <v>1516</v>
      </c>
      <c r="B45" s="10" t="s">
        <v>1517</v>
      </c>
      <c r="C45" s="10" t="s">
        <v>1518</v>
      </c>
      <c r="D45" s="10" t="s">
        <v>1519</v>
      </c>
      <c r="E45" s="10" t="s">
        <v>1520</v>
      </c>
      <c r="F45" s="10" t="s">
        <v>1521</v>
      </c>
      <c r="G45" s="10" t="s">
        <v>1522</v>
      </c>
      <c r="H45" s="12"/>
      <c r="I45" s="12"/>
      <c r="J45" s="12"/>
      <c r="K45" s="12"/>
      <c r="L45" s="12"/>
      <c r="M45" s="12"/>
      <c r="N45" s="12"/>
    </row>
    <row r="46" spans="1:14" ht="39" x14ac:dyDescent="0.35">
      <c r="A46" s="10" t="s">
        <v>1523</v>
      </c>
      <c r="B46" s="10" t="s">
        <v>1517</v>
      </c>
      <c r="C46" s="10" t="s">
        <v>1518</v>
      </c>
      <c r="D46" s="10" t="s">
        <v>1524</v>
      </c>
      <c r="E46" s="10" t="s">
        <v>1520</v>
      </c>
      <c r="F46" s="10" t="s">
        <v>1525</v>
      </c>
      <c r="G46" s="10" t="s">
        <v>1526</v>
      </c>
      <c r="H46" s="12"/>
      <c r="I46" s="12"/>
      <c r="J46" s="12"/>
      <c r="K46" s="12"/>
      <c r="L46" s="12"/>
      <c r="M46" s="12"/>
      <c r="N46" s="12"/>
    </row>
    <row r="47" spans="1:14" ht="39" x14ac:dyDescent="0.35">
      <c r="A47" s="10" t="s">
        <v>1527</v>
      </c>
      <c r="B47" s="10" t="s">
        <v>1517</v>
      </c>
      <c r="C47" s="10" t="s">
        <v>1518</v>
      </c>
      <c r="D47" s="10" t="s">
        <v>1528</v>
      </c>
      <c r="E47" s="10" t="s">
        <v>1520</v>
      </c>
      <c r="F47" s="10" t="s">
        <v>1529</v>
      </c>
      <c r="G47" s="10" t="s">
        <v>1530</v>
      </c>
      <c r="H47" s="12"/>
      <c r="I47" s="12"/>
      <c r="J47" s="12"/>
      <c r="K47" s="12"/>
      <c r="L47" s="12"/>
      <c r="M47" s="12"/>
      <c r="N47" s="12"/>
    </row>
    <row r="48" spans="1:14" ht="26" x14ac:dyDescent="0.35">
      <c r="A48" s="10" t="s">
        <v>1531</v>
      </c>
      <c r="B48" s="10" t="s">
        <v>1532</v>
      </c>
      <c r="C48" s="10" t="s">
        <v>1533</v>
      </c>
      <c r="D48" s="10" t="s">
        <v>1534</v>
      </c>
      <c r="E48" s="10" t="s">
        <v>1535</v>
      </c>
      <c r="F48" s="10" t="s">
        <v>1536</v>
      </c>
      <c r="G48" s="10" t="s">
        <v>1537</v>
      </c>
      <c r="H48" s="12"/>
      <c r="I48" s="12"/>
      <c r="J48" s="12"/>
      <c r="K48" s="12"/>
      <c r="L48" s="12"/>
      <c r="M48" s="12"/>
      <c r="N48" s="12"/>
    </row>
    <row r="49" spans="1:14" ht="26" x14ac:dyDescent="0.35">
      <c r="A49" s="10" t="s">
        <v>1538</v>
      </c>
      <c r="B49" s="10" t="s">
        <v>1532</v>
      </c>
      <c r="C49" s="10" t="s">
        <v>1533</v>
      </c>
      <c r="D49" s="10" t="s">
        <v>1539</v>
      </c>
      <c r="E49" s="10" t="s">
        <v>1535</v>
      </c>
      <c r="F49" s="10" t="s">
        <v>1540</v>
      </c>
      <c r="G49" s="10" t="s">
        <v>1541</v>
      </c>
      <c r="H49" s="12"/>
      <c r="I49" s="12"/>
      <c r="J49" s="12"/>
      <c r="K49" s="12"/>
      <c r="L49" s="12"/>
      <c r="M49" s="12"/>
      <c r="N49" s="12"/>
    </row>
    <row r="50" spans="1:14" ht="26" x14ac:dyDescent="0.35">
      <c r="A50" s="10" t="s">
        <v>1542</v>
      </c>
      <c r="B50" s="10" t="s">
        <v>1532</v>
      </c>
      <c r="C50" s="10" t="s">
        <v>1533</v>
      </c>
      <c r="D50" s="10" t="s">
        <v>1543</v>
      </c>
      <c r="E50" s="10" t="s">
        <v>1535</v>
      </c>
      <c r="F50" s="10" t="s">
        <v>1544</v>
      </c>
      <c r="G50" s="10" t="s">
        <v>1545</v>
      </c>
      <c r="H50" s="12"/>
      <c r="I50" s="12"/>
      <c r="J50" s="12"/>
      <c r="K50" s="12"/>
      <c r="L50" s="12"/>
      <c r="M50" s="12"/>
      <c r="N50" s="12"/>
    </row>
    <row r="51" spans="1:14" ht="26" x14ac:dyDescent="0.35">
      <c r="A51" s="10" t="s">
        <v>1546</v>
      </c>
      <c r="B51" s="10" t="s">
        <v>1532</v>
      </c>
      <c r="C51" s="10" t="s">
        <v>1533</v>
      </c>
      <c r="D51" s="10" t="s">
        <v>1547</v>
      </c>
      <c r="E51" s="10" t="s">
        <v>1535</v>
      </c>
      <c r="F51" s="10" t="s">
        <v>1548</v>
      </c>
      <c r="G51" s="10" t="s">
        <v>1549</v>
      </c>
      <c r="H51" s="12"/>
      <c r="I51" s="12"/>
      <c r="J51" s="12"/>
      <c r="K51" s="12"/>
      <c r="L51" s="12"/>
      <c r="M51" s="12"/>
      <c r="N51" s="12"/>
    </row>
    <row r="52" spans="1:14" ht="26" x14ac:dyDescent="0.35">
      <c r="A52" s="10" t="s">
        <v>1550</v>
      </c>
      <c r="B52" s="10" t="s">
        <v>1532</v>
      </c>
      <c r="C52" s="10" t="s">
        <v>1533</v>
      </c>
      <c r="D52" s="10" t="s">
        <v>1551</v>
      </c>
      <c r="E52" s="10" t="s">
        <v>1535</v>
      </c>
      <c r="F52" s="10" t="s">
        <v>1552</v>
      </c>
      <c r="G52" s="10" t="s">
        <v>1553</v>
      </c>
      <c r="H52" s="12"/>
      <c r="I52" s="12"/>
      <c r="J52" s="12"/>
      <c r="K52" s="12"/>
      <c r="L52" s="12"/>
      <c r="M52" s="12"/>
      <c r="N52" s="12"/>
    </row>
    <row r="53" spans="1:14" ht="26" x14ac:dyDescent="0.35">
      <c r="A53" s="10" t="s">
        <v>1554</v>
      </c>
      <c r="B53" s="10" t="s">
        <v>1532</v>
      </c>
      <c r="C53" s="10" t="s">
        <v>1533</v>
      </c>
      <c r="D53" s="10" t="s">
        <v>1555</v>
      </c>
      <c r="E53" s="10" t="s">
        <v>1535</v>
      </c>
      <c r="F53" s="10" t="s">
        <v>1556</v>
      </c>
      <c r="G53" s="10" t="s">
        <v>1557</v>
      </c>
      <c r="H53" s="12"/>
      <c r="I53" s="12"/>
      <c r="J53" s="12"/>
      <c r="K53" s="12"/>
      <c r="L53" s="12"/>
      <c r="M53" s="12"/>
      <c r="N53" s="12"/>
    </row>
    <row r="54" spans="1:14" ht="26" x14ac:dyDescent="0.35">
      <c r="A54" s="10" t="s">
        <v>1558</v>
      </c>
      <c r="B54" s="10" t="s">
        <v>1532</v>
      </c>
      <c r="C54" s="10" t="s">
        <v>1533</v>
      </c>
      <c r="D54" s="10" t="s">
        <v>1559</v>
      </c>
      <c r="E54" s="10" t="s">
        <v>1535</v>
      </c>
      <c r="F54" s="10" t="s">
        <v>1560</v>
      </c>
      <c r="G54" s="10" t="s">
        <v>1561</v>
      </c>
      <c r="H54" s="12"/>
      <c r="I54" s="12"/>
      <c r="J54" s="12"/>
      <c r="K54" s="12"/>
      <c r="L54" s="12"/>
      <c r="M54" s="12"/>
      <c r="N54" s="12"/>
    </row>
    <row r="55" spans="1:14" ht="26" x14ac:dyDescent="0.35">
      <c r="A55" s="10" t="s">
        <v>1562</v>
      </c>
      <c r="B55" s="10" t="s">
        <v>1532</v>
      </c>
      <c r="C55" s="10" t="s">
        <v>1533</v>
      </c>
      <c r="D55" s="10" t="s">
        <v>1563</v>
      </c>
      <c r="E55" s="10" t="s">
        <v>1535</v>
      </c>
      <c r="F55" s="10" t="s">
        <v>1564</v>
      </c>
      <c r="G55" s="10" t="s">
        <v>1565</v>
      </c>
      <c r="H55" s="12"/>
      <c r="I55" s="12"/>
      <c r="J55" s="12"/>
      <c r="K55" s="12"/>
      <c r="L55" s="12"/>
      <c r="M55" s="12"/>
      <c r="N55" s="12"/>
    </row>
    <row r="56" spans="1:14" ht="26" x14ac:dyDescent="0.35">
      <c r="A56" s="10" t="s">
        <v>1566</v>
      </c>
      <c r="B56" s="10" t="s">
        <v>1532</v>
      </c>
      <c r="C56" s="10" t="s">
        <v>1533</v>
      </c>
      <c r="D56" s="10" t="s">
        <v>1567</v>
      </c>
      <c r="E56" s="10" t="s">
        <v>1535</v>
      </c>
      <c r="F56" s="10" t="s">
        <v>1568</v>
      </c>
      <c r="G56" s="10" t="s">
        <v>1569</v>
      </c>
      <c r="H56" s="12"/>
      <c r="I56" s="12"/>
      <c r="J56" s="12"/>
      <c r="K56" s="12"/>
      <c r="L56" s="12"/>
      <c r="M56" s="12"/>
      <c r="N56" s="12"/>
    </row>
    <row r="57" spans="1:14" ht="26" x14ac:dyDescent="0.35">
      <c r="A57" s="10" t="s">
        <v>1570</v>
      </c>
      <c r="B57" s="10" t="s">
        <v>1532</v>
      </c>
      <c r="C57" s="10" t="s">
        <v>1533</v>
      </c>
      <c r="D57" s="10" t="s">
        <v>1571</v>
      </c>
      <c r="E57" s="10" t="s">
        <v>1535</v>
      </c>
      <c r="F57" s="10" t="s">
        <v>1572</v>
      </c>
      <c r="G57" s="10" t="s">
        <v>1573</v>
      </c>
      <c r="H57" s="12"/>
      <c r="I57" s="12"/>
      <c r="J57" s="12"/>
      <c r="K57" s="12"/>
      <c r="L57" s="12"/>
      <c r="M57" s="12"/>
      <c r="N57" s="12"/>
    </row>
    <row r="58" spans="1:14" ht="26" x14ac:dyDescent="0.35">
      <c r="A58" s="10" t="s">
        <v>1574</v>
      </c>
      <c r="B58" s="10" t="s">
        <v>1532</v>
      </c>
      <c r="C58" s="10" t="s">
        <v>1533</v>
      </c>
      <c r="D58" s="10" t="s">
        <v>1575</v>
      </c>
      <c r="E58" s="10" t="s">
        <v>1535</v>
      </c>
      <c r="F58" s="10" t="s">
        <v>1576</v>
      </c>
      <c r="G58" s="10" t="s">
        <v>1577</v>
      </c>
      <c r="H58" s="12"/>
      <c r="I58" s="12"/>
      <c r="J58" s="12"/>
      <c r="K58" s="12"/>
      <c r="L58" s="12"/>
      <c r="M58" s="12"/>
      <c r="N58" s="12"/>
    </row>
    <row r="59" spans="1:14" ht="26" x14ac:dyDescent="0.35">
      <c r="A59" s="10" t="s">
        <v>1578</v>
      </c>
      <c r="B59" s="10" t="s">
        <v>1532</v>
      </c>
      <c r="C59" s="10" t="s">
        <v>1533</v>
      </c>
      <c r="D59" s="10" t="s">
        <v>1579</v>
      </c>
      <c r="E59" s="10" t="s">
        <v>1535</v>
      </c>
      <c r="F59" s="10" t="s">
        <v>1580</v>
      </c>
      <c r="G59" s="10" t="s">
        <v>1581</v>
      </c>
      <c r="H59" s="12"/>
      <c r="I59" s="12"/>
      <c r="J59" s="12"/>
      <c r="K59" s="12"/>
      <c r="L59" s="12"/>
      <c r="M59" s="12"/>
      <c r="N59" s="12"/>
    </row>
    <row r="60" spans="1:14" ht="39" x14ac:dyDescent="0.35">
      <c r="A60" s="10" t="s">
        <v>1582</v>
      </c>
      <c r="B60" s="10" t="s">
        <v>1583</v>
      </c>
      <c r="C60" s="10" t="s">
        <v>1584</v>
      </c>
      <c r="D60" s="10" t="s">
        <v>1585</v>
      </c>
      <c r="E60" s="10" t="s">
        <v>1586</v>
      </c>
      <c r="F60" s="10" t="s">
        <v>1587</v>
      </c>
      <c r="G60" s="10" t="s">
        <v>1588</v>
      </c>
      <c r="H60" s="12"/>
      <c r="I60" s="12"/>
      <c r="J60" s="12"/>
      <c r="K60" s="12"/>
      <c r="L60" s="12"/>
      <c r="M60" s="12"/>
      <c r="N60" s="12"/>
    </row>
    <row r="61" spans="1:14" ht="39" x14ac:dyDescent="0.35">
      <c r="A61" s="10" t="s">
        <v>1589</v>
      </c>
      <c r="B61" s="10" t="s">
        <v>1590</v>
      </c>
      <c r="C61" s="10" t="s">
        <v>1591</v>
      </c>
      <c r="D61" s="10" t="s">
        <v>1592</v>
      </c>
      <c r="E61" s="10" t="s">
        <v>1593</v>
      </c>
      <c r="F61" s="10" t="s">
        <v>1594</v>
      </c>
      <c r="G61" s="10" t="s">
        <v>1595</v>
      </c>
      <c r="H61" s="12"/>
      <c r="I61" s="12"/>
      <c r="J61" s="12"/>
      <c r="K61" s="12"/>
      <c r="L61" s="12"/>
      <c r="M61" s="12"/>
      <c r="N61" s="12"/>
    </row>
    <row r="62" spans="1:14" ht="39" x14ac:dyDescent="0.35">
      <c r="A62" s="10" t="s">
        <v>1596</v>
      </c>
      <c r="B62" s="10" t="s">
        <v>1590</v>
      </c>
      <c r="C62" s="10" t="s">
        <v>1591</v>
      </c>
      <c r="D62" s="10" t="s">
        <v>1597</v>
      </c>
      <c r="E62" s="10" t="s">
        <v>1593</v>
      </c>
      <c r="F62" s="10" t="s">
        <v>1598</v>
      </c>
      <c r="G62" s="10" t="s">
        <v>1599</v>
      </c>
      <c r="H62" s="12"/>
      <c r="I62" s="12"/>
      <c r="J62" s="12"/>
      <c r="K62" s="12"/>
      <c r="L62" s="12"/>
      <c r="M62" s="12"/>
      <c r="N62" s="12"/>
    </row>
    <row r="63" spans="1:14" ht="39" x14ac:dyDescent="0.35">
      <c r="A63" s="10" t="s">
        <v>1600</v>
      </c>
      <c r="B63" s="10" t="s">
        <v>1590</v>
      </c>
      <c r="C63" s="10" t="s">
        <v>1591</v>
      </c>
      <c r="D63" s="10" t="s">
        <v>1601</v>
      </c>
      <c r="E63" s="10" t="s">
        <v>1593</v>
      </c>
      <c r="F63" s="10" t="s">
        <v>1602</v>
      </c>
      <c r="G63" s="10" t="s">
        <v>1603</v>
      </c>
      <c r="H63" s="12"/>
      <c r="I63" s="12"/>
      <c r="J63" s="12"/>
      <c r="K63" s="12"/>
      <c r="L63" s="12"/>
      <c r="M63" s="12"/>
      <c r="N63" s="12"/>
    </row>
    <row r="64" spans="1:14" ht="39" x14ac:dyDescent="0.35">
      <c r="A64" s="10" t="s">
        <v>1604</v>
      </c>
      <c r="B64" s="10" t="s">
        <v>1590</v>
      </c>
      <c r="C64" s="10" t="s">
        <v>1591</v>
      </c>
      <c r="D64" s="10" t="s">
        <v>1605</v>
      </c>
      <c r="E64" s="10" t="s">
        <v>1593</v>
      </c>
      <c r="F64" s="10" t="s">
        <v>1606</v>
      </c>
      <c r="G64" s="10" t="s">
        <v>1607</v>
      </c>
      <c r="H64" s="12"/>
      <c r="I64" s="12"/>
      <c r="J64" s="12"/>
      <c r="K64" s="12"/>
      <c r="L64" s="12"/>
      <c r="M64" s="12"/>
      <c r="N64" s="12"/>
    </row>
    <row r="65" spans="1:14" ht="39" x14ac:dyDescent="0.35">
      <c r="A65" s="10" t="s">
        <v>1608</v>
      </c>
      <c r="B65" s="10" t="s">
        <v>1609</v>
      </c>
      <c r="C65" s="10" t="s">
        <v>1610</v>
      </c>
      <c r="D65" s="10" t="s">
        <v>1611</v>
      </c>
      <c r="E65" s="10" t="s">
        <v>1612</v>
      </c>
      <c r="F65" s="10" t="s">
        <v>1613</v>
      </c>
      <c r="G65" s="10" t="s">
        <v>1614</v>
      </c>
      <c r="H65" s="12"/>
      <c r="I65" s="12"/>
      <c r="J65" s="12"/>
      <c r="K65" s="12"/>
      <c r="L65" s="12"/>
      <c r="M65" s="12"/>
      <c r="N65" s="12"/>
    </row>
    <row r="66" spans="1:14" ht="39" x14ac:dyDescent="0.35">
      <c r="A66" s="10" t="s">
        <v>1615</v>
      </c>
      <c r="B66" s="10" t="s">
        <v>1609</v>
      </c>
      <c r="C66" s="10" t="s">
        <v>1610</v>
      </c>
      <c r="D66" s="10" t="s">
        <v>1616</v>
      </c>
      <c r="E66" s="10" t="s">
        <v>1612</v>
      </c>
      <c r="F66" s="10" t="s">
        <v>1617</v>
      </c>
      <c r="G66" s="10" t="s">
        <v>1618</v>
      </c>
      <c r="H66" s="12"/>
      <c r="I66" s="12"/>
      <c r="J66" s="12"/>
      <c r="K66" s="12"/>
      <c r="L66" s="12"/>
      <c r="M66" s="12"/>
      <c r="N66" s="12"/>
    </row>
    <row r="67" spans="1:14" ht="52" x14ac:dyDescent="0.35">
      <c r="A67" s="10" t="s">
        <v>1619</v>
      </c>
      <c r="B67" s="10" t="s">
        <v>1609</v>
      </c>
      <c r="C67" s="10" t="s">
        <v>1610</v>
      </c>
      <c r="D67" s="10" t="s">
        <v>1620</v>
      </c>
      <c r="E67" s="10" t="s">
        <v>1612</v>
      </c>
      <c r="F67" s="10" t="s">
        <v>1621</v>
      </c>
      <c r="G67" s="10" t="s">
        <v>1622</v>
      </c>
      <c r="H67" s="12"/>
      <c r="I67" s="12"/>
      <c r="J67" s="12"/>
      <c r="K67" s="12"/>
      <c r="L67" s="12"/>
      <c r="M67" s="12"/>
      <c r="N67" s="12"/>
    </row>
    <row r="68" spans="1:14" ht="39" x14ac:dyDescent="0.35">
      <c r="A68" s="10" t="s">
        <v>1623</v>
      </c>
      <c r="B68" s="10" t="s">
        <v>1609</v>
      </c>
      <c r="C68" s="10" t="s">
        <v>1610</v>
      </c>
      <c r="D68" s="10" t="s">
        <v>1624</v>
      </c>
      <c r="E68" s="10" t="s">
        <v>1612</v>
      </c>
      <c r="F68" s="10" t="s">
        <v>1625</v>
      </c>
      <c r="G68" s="10" t="s">
        <v>1626</v>
      </c>
      <c r="H68" s="12"/>
      <c r="I68" s="12"/>
      <c r="J68" s="12"/>
      <c r="K68" s="12"/>
      <c r="L68" s="12"/>
      <c r="M68" s="12"/>
      <c r="N68" s="12"/>
    </row>
    <row r="69" spans="1:14" ht="39" x14ac:dyDescent="0.35">
      <c r="A69" s="10" t="s">
        <v>1627</v>
      </c>
      <c r="B69" s="10" t="s">
        <v>1628</v>
      </c>
      <c r="C69" s="10" t="s">
        <v>1629</v>
      </c>
      <c r="D69" s="10" t="s">
        <v>1630</v>
      </c>
      <c r="E69" s="10" t="s">
        <v>1631</v>
      </c>
      <c r="F69" s="10" t="s">
        <v>1632</v>
      </c>
      <c r="G69" s="10" t="s">
        <v>1633</v>
      </c>
      <c r="H69" s="12"/>
      <c r="I69" s="12"/>
      <c r="J69" s="12"/>
      <c r="K69" s="12"/>
      <c r="L69" s="12"/>
      <c r="M69" s="12"/>
      <c r="N69" s="12"/>
    </row>
    <row r="70" spans="1:14" ht="39" x14ac:dyDescent="0.35">
      <c r="A70" s="10" t="s">
        <v>1634</v>
      </c>
      <c r="B70" s="10" t="s">
        <v>1628</v>
      </c>
      <c r="C70" s="10" t="s">
        <v>1629</v>
      </c>
      <c r="D70" s="10" t="s">
        <v>1635</v>
      </c>
      <c r="E70" s="10" t="s">
        <v>1631</v>
      </c>
      <c r="F70" s="10" t="s">
        <v>1636</v>
      </c>
      <c r="G70" s="10" t="s">
        <v>1637</v>
      </c>
      <c r="H70" s="12"/>
      <c r="I70" s="12"/>
      <c r="J70" s="12"/>
      <c r="K70" s="12"/>
      <c r="L70" s="12"/>
      <c r="M70" s="12"/>
      <c r="N70" s="12"/>
    </row>
    <row r="71" spans="1:14" ht="39" x14ac:dyDescent="0.35">
      <c r="A71" s="10" t="s">
        <v>1638</v>
      </c>
      <c r="B71" s="10" t="s">
        <v>1639</v>
      </c>
      <c r="C71" s="10" t="s">
        <v>1640</v>
      </c>
      <c r="D71" s="10" t="s">
        <v>1641</v>
      </c>
      <c r="E71" s="10" t="s">
        <v>1642</v>
      </c>
      <c r="F71" s="10" t="s">
        <v>1643</v>
      </c>
      <c r="G71" s="10" t="s">
        <v>1644</v>
      </c>
      <c r="H71" s="12"/>
      <c r="I71" s="12"/>
      <c r="J71" s="12"/>
      <c r="K71" s="12"/>
      <c r="L71" s="12"/>
      <c r="M71" s="12"/>
      <c r="N71" s="12"/>
    </row>
    <row r="72" spans="1:14" ht="39" x14ac:dyDescent="0.35">
      <c r="A72" s="10" t="s">
        <v>1645</v>
      </c>
      <c r="B72" s="10" t="s">
        <v>1639</v>
      </c>
      <c r="C72" s="10" t="s">
        <v>1640</v>
      </c>
      <c r="D72" s="10" t="s">
        <v>1646</v>
      </c>
      <c r="E72" s="10" t="s">
        <v>1642</v>
      </c>
      <c r="F72" s="10" t="s">
        <v>1647</v>
      </c>
      <c r="G72" s="10" t="s">
        <v>1648</v>
      </c>
      <c r="H72" s="12"/>
      <c r="I72" s="12"/>
      <c r="J72" s="12"/>
      <c r="K72" s="12"/>
      <c r="L72" s="12"/>
      <c r="M72" s="12"/>
      <c r="N72" s="12"/>
    </row>
    <row r="73" spans="1:14" ht="39" x14ac:dyDescent="0.35">
      <c r="A73" s="10" t="s">
        <v>1649</v>
      </c>
      <c r="B73" s="10" t="s">
        <v>1650</v>
      </c>
      <c r="C73" s="10" t="s">
        <v>1651</v>
      </c>
      <c r="D73" s="10" t="s">
        <v>1652</v>
      </c>
      <c r="E73" s="10" t="s">
        <v>1653</v>
      </c>
      <c r="F73" s="10" t="s">
        <v>1654</v>
      </c>
      <c r="G73" s="10" t="s">
        <v>1655</v>
      </c>
      <c r="H73" s="12"/>
      <c r="I73" s="12"/>
      <c r="J73" s="12"/>
      <c r="K73" s="12"/>
      <c r="L73" s="12"/>
      <c r="M73" s="12"/>
      <c r="N73" s="12"/>
    </row>
    <row r="74" spans="1:14" ht="39" x14ac:dyDescent="0.35">
      <c r="A74" s="10" t="s">
        <v>1656</v>
      </c>
      <c r="B74" s="10" t="s">
        <v>1650</v>
      </c>
      <c r="C74" s="10" t="s">
        <v>1651</v>
      </c>
      <c r="D74" s="10" t="s">
        <v>1657</v>
      </c>
      <c r="E74" s="10" t="s">
        <v>1653</v>
      </c>
      <c r="F74" s="10" t="s">
        <v>1658</v>
      </c>
      <c r="G74" s="10" t="s">
        <v>1659</v>
      </c>
      <c r="H74" s="12"/>
      <c r="I74" s="12"/>
      <c r="J74" s="12"/>
      <c r="K74" s="12"/>
      <c r="L74" s="12"/>
      <c r="M74" s="12"/>
      <c r="N74" s="12"/>
    </row>
    <row r="75" spans="1:14" ht="39" x14ac:dyDescent="0.35">
      <c r="A75" s="10" t="s">
        <v>1660</v>
      </c>
      <c r="B75" s="10" t="s">
        <v>1650</v>
      </c>
      <c r="C75" s="10" t="s">
        <v>1651</v>
      </c>
      <c r="D75" s="10" t="s">
        <v>1661</v>
      </c>
      <c r="E75" s="10" t="s">
        <v>1653</v>
      </c>
      <c r="F75" s="10" t="s">
        <v>1662</v>
      </c>
      <c r="G75" s="10" t="s">
        <v>1663</v>
      </c>
      <c r="H75" s="12"/>
      <c r="I75" s="12"/>
      <c r="J75" s="12"/>
      <c r="K75" s="12"/>
      <c r="L75" s="12"/>
      <c r="M75" s="12"/>
      <c r="N75" s="12"/>
    </row>
    <row r="76" spans="1:14" ht="26" x14ac:dyDescent="0.35">
      <c r="A76" s="10" t="s">
        <v>1664</v>
      </c>
      <c r="B76" s="10" t="s">
        <v>1665</v>
      </c>
      <c r="C76" s="10" t="s">
        <v>1666</v>
      </c>
      <c r="D76" s="10" t="s">
        <v>1667</v>
      </c>
      <c r="E76" s="10" t="s">
        <v>1668</v>
      </c>
      <c r="F76" s="10" t="s">
        <v>1669</v>
      </c>
      <c r="G76" s="10" t="s">
        <v>1670</v>
      </c>
      <c r="H76" s="12"/>
      <c r="I76" s="12"/>
      <c r="J76" s="12"/>
      <c r="K76" s="12"/>
      <c r="L76" s="12"/>
      <c r="M76" s="12"/>
      <c r="N76" s="12"/>
    </row>
    <row r="77" spans="1:14" ht="26" x14ac:dyDescent="0.35">
      <c r="A77" s="10" t="s">
        <v>1671</v>
      </c>
      <c r="B77" s="10" t="s">
        <v>1665</v>
      </c>
      <c r="C77" s="10" t="s">
        <v>1666</v>
      </c>
      <c r="D77" s="10" t="s">
        <v>1672</v>
      </c>
      <c r="E77" s="10" t="s">
        <v>1668</v>
      </c>
      <c r="F77" s="10" t="s">
        <v>1673</v>
      </c>
      <c r="G77" s="10" t="s">
        <v>1674</v>
      </c>
      <c r="H77" s="12"/>
      <c r="I77" s="12"/>
      <c r="J77" s="12"/>
      <c r="K77" s="12"/>
      <c r="L77" s="12"/>
      <c r="M77" s="12"/>
      <c r="N77" s="12"/>
    </row>
  </sheetData>
  <autoFilter ref="A6:N77" xr:uid="{00000000-0009-0000-0000-000004000000}"/>
  <dataValidations count="2">
    <dataValidation type="list" allowBlank="1" sqref="H7:H77" xr:uid="{00000000-0002-0000-0400-000000000000}">
      <formula1>"Fully supported,Partially supported,Requires development,Not supported,Clarification required"</formula1>
      <formula2>0</formula2>
    </dataValidation>
    <dataValidation type="list" allowBlank="1" sqref="I7:I77" xr:uid="{00000000-0002-0000-0400-000001000000}">
      <formula1>"Standard product capability,Configuration,Extension of existing asset,Custom development,Third-party service,Combination,Not proposed"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4"/>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8.6328125" defaultRowHeight="14.5" x14ac:dyDescent="0.35"/>
  <cols>
    <col min="1" max="1" width="10" customWidth="1"/>
    <col min="2" max="3" width="18" customWidth="1"/>
    <col min="4" max="4" width="34" customWidth="1"/>
    <col min="5" max="5" width="60" customWidth="1"/>
    <col min="6" max="6" width="12" customWidth="1"/>
    <col min="7" max="8" width="50" customWidth="1"/>
  </cols>
  <sheetData>
    <row r="1" spans="1:8" x14ac:dyDescent="0.35">
      <c r="A1" s="1" t="s">
        <v>0</v>
      </c>
    </row>
    <row r="2" spans="1:8" ht="21" x14ac:dyDescent="0.5">
      <c r="A2" s="2" t="s">
        <v>1675</v>
      </c>
    </row>
    <row r="3" spans="1:8" x14ac:dyDescent="0.35">
      <c r="A3" s="3" t="s">
        <v>1676</v>
      </c>
    </row>
    <row r="4" spans="1:8" x14ac:dyDescent="0.35">
      <c r="A4" s="4" t="s">
        <v>3</v>
      </c>
    </row>
    <row r="6" spans="1:8" ht="42" customHeight="1" x14ac:dyDescent="0.35">
      <c r="A6" s="9" t="s">
        <v>39</v>
      </c>
      <c r="B6" s="9" t="s">
        <v>1677</v>
      </c>
      <c r="C6" s="9" t="s">
        <v>41</v>
      </c>
      <c r="D6" s="9" t="s">
        <v>1678</v>
      </c>
      <c r="E6" s="9" t="s">
        <v>45</v>
      </c>
      <c r="F6" s="9" t="s">
        <v>52</v>
      </c>
      <c r="G6" s="11" t="s">
        <v>1679</v>
      </c>
      <c r="H6" s="11" t="s">
        <v>1680</v>
      </c>
    </row>
    <row r="7" spans="1:8" ht="26" x14ac:dyDescent="0.35">
      <c r="A7" s="10" t="s">
        <v>1681</v>
      </c>
      <c r="B7" s="10" t="s">
        <v>1682</v>
      </c>
      <c r="C7" s="10" t="s">
        <v>61</v>
      </c>
      <c r="D7" s="10" t="s">
        <v>1683</v>
      </c>
      <c r="E7" s="10" t="s">
        <v>1684</v>
      </c>
      <c r="F7" s="10" t="s">
        <v>1685</v>
      </c>
      <c r="G7" s="12"/>
      <c r="H7" s="12"/>
    </row>
    <row r="8" spans="1:8" ht="26" x14ac:dyDescent="0.35">
      <c r="A8" s="10" t="s">
        <v>1686</v>
      </c>
      <c r="B8" s="10" t="s">
        <v>1682</v>
      </c>
      <c r="C8" s="10" t="s">
        <v>458</v>
      </c>
      <c r="D8" s="10" t="s">
        <v>1687</v>
      </c>
      <c r="E8" s="10" t="s">
        <v>1688</v>
      </c>
      <c r="F8" s="10" t="s">
        <v>1689</v>
      </c>
      <c r="G8" s="12"/>
      <c r="H8" s="12"/>
    </row>
    <row r="9" spans="1:8" ht="26" x14ac:dyDescent="0.35">
      <c r="A9" s="10" t="s">
        <v>1690</v>
      </c>
      <c r="B9" s="10" t="s">
        <v>1682</v>
      </c>
      <c r="C9" s="10" t="s">
        <v>61</v>
      </c>
      <c r="D9" s="10" t="s">
        <v>1691</v>
      </c>
      <c r="E9" s="10" t="s">
        <v>1692</v>
      </c>
      <c r="F9" s="10" t="s">
        <v>1693</v>
      </c>
      <c r="G9" s="12"/>
      <c r="H9" s="12"/>
    </row>
    <row r="10" spans="1:8" x14ac:dyDescent="0.35">
      <c r="A10" s="10" t="s">
        <v>1694</v>
      </c>
      <c r="B10" s="10" t="s">
        <v>1682</v>
      </c>
      <c r="C10" s="10" t="s">
        <v>61</v>
      </c>
      <c r="D10" s="10" t="s">
        <v>1695</v>
      </c>
      <c r="E10" s="10" t="s">
        <v>1696</v>
      </c>
      <c r="F10" s="10" t="s">
        <v>1697</v>
      </c>
      <c r="G10" s="12"/>
      <c r="H10" s="12"/>
    </row>
    <row r="11" spans="1:8" ht="26" x14ac:dyDescent="0.35">
      <c r="A11" s="10" t="s">
        <v>1698</v>
      </c>
      <c r="B11" s="10" t="s">
        <v>1682</v>
      </c>
      <c r="C11" s="10" t="s">
        <v>458</v>
      </c>
      <c r="D11" s="10" t="s">
        <v>1699</v>
      </c>
      <c r="E11" s="10" t="s">
        <v>1700</v>
      </c>
      <c r="F11" s="10" t="s">
        <v>1701</v>
      </c>
      <c r="G11" s="12"/>
      <c r="H11" s="12"/>
    </row>
    <row r="12" spans="1:8" ht="26" x14ac:dyDescent="0.35">
      <c r="A12" s="10" t="s">
        <v>1702</v>
      </c>
      <c r="B12" s="10" t="s">
        <v>1682</v>
      </c>
      <c r="C12" s="10" t="s">
        <v>458</v>
      </c>
      <c r="D12" s="10" t="s">
        <v>1703</v>
      </c>
      <c r="E12" s="10" t="s">
        <v>1704</v>
      </c>
      <c r="F12" s="10" t="s">
        <v>1705</v>
      </c>
      <c r="G12" s="12"/>
      <c r="H12" s="12"/>
    </row>
    <row r="13" spans="1:8" ht="39" x14ac:dyDescent="0.35">
      <c r="A13" s="10" t="s">
        <v>1706</v>
      </c>
      <c r="B13" s="10" t="s">
        <v>1682</v>
      </c>
      <c r="C13" s="10" t="s">
        <v>458</v>
      </c>
      <c r="D13" s="10" t="s">
        <v>1707</v>
      </c>
      <c r="E13" s="10" t="s">
        <v>1708</v>
      </c>
      <c r="F13" s="10" t="s">
        <v>1709</v>
      </c>
      <c r="G13" s="12"/>
      <c r="H13" s="12"/>
    </row>
    <row r="14" spans="1:8" ht="26" x14ac:dyDescent="0.35">
      <c r="A14" s="10" t="s">
        <v>1710</v>
      </c>
      <c r="B14" s="10" t="s">
        <v>1682</v>
      </c>
      <c r="C14" s="10" t="s">
        <v>61</v>
      </c>
      <c r="D14" s="10" t="s">
        <v>1711</v>
      </c>
      <c r="E14" s="10" t="s">
        <v>1712</v>
      </c>
      <c r="F14" s="10" t="s">
        <v>1713</v>
      </c>
      <c r="G14" s="12"/>
      <c r="H14" s="12"/>
    </row>
    <row r="15" spans="1:8" ht="39" x14ac:dyDescent="0.35">
      <c r="A15" s="10" t="s">
        <v>1714</v>
      </c>
      <c r="B15" s="10" t="s">
        <v>1682</v>
      </c>
      <c r="C15" s="10" t="s">
        <v>61</v>
      </c>
      <c r="D15" s="10" t="s">
        <v>1715</v>
      </c>
      <c r="E15" s="10" t="s">
        <v>1716</v>
      </c>
      <c r="F15" s="10" t="s">
        <v>1717</v>
      </c>
      <c r="G15" s="12"/>
      <c r="H15" s="12"/>
    </row>
    <row r="16" spans="1:8" ht="26" x14ac:dyDescent="0.35">
      <c r="A16" s="10" t="s">
        <v>1718</v>
      </c>
      <c r="B16" s="10" t="s">
        <v>1682</v>
      </c>
      <c r="C16" s="10" t="s">
        <v>61</v>
      </c>
      <c r="D16" s="10" t="s">
        <v>1719</v>
      </c>
      <c r="E16" s="10" t="s">
        <v>1720</v>
      </c>
      <c r="F16" s="10" t="s">
        <v>1721</v>
      </c>
      <c r="G16" s="12"/>
      <c r="H16" s="12"/>
    </row>
    <row r="17" spans="1:8" ht="26" x14ac:dyDescent="0.35">
      <c r="A17" s="10" t="s">
        <v>1722</v>
      </c>
      <c r="B17" s="10" t="s">
        <v>1682</v>
      </c>
      <c r="C17" s="10" t="s">
        <v>825</v>
      </c>
      <c r="D17" s="10" t="s">
        <v>1723</v>
      </c>
      <c r="E17" s="10" t="s">
        <v>1724</v>
      </c>
      <c r="F17" s="10" t="s">
        <v>1725</v>
      </c>
      <c r="G17" s="12"/>
      <c r="H17" s="12"/>
    </row>
    <row r="18" spans="1:8" ht="26" x14ac:dyDescent="0.35">
      <c r="A18" s="10" t="s">
        <v>1726</v>
      </c>
      <c r="B18" s="10" t="s">
        <v>1727</v>
      </c>
      <c r="C18" s="10" t="s">
        <v>458</v>
      </c>
      <c r="D18" s="10" t="s">
        <v>1728</v>
      </c>
      <c r="E18" s="10" t="s">
        <v>1729</v>
      </c>
      <c r="F18" s="10" t="s">
        <v>1730</v>
      </c>
      <c r="G18" s="12"/>
      <c r="H18" s="12"/>
    </row>
    <row r="19" spans="1:8" ht="26" x14ac:dyDescent="0.35">
      <c r="A19" s="10" t="s">
        <v>1731</v>
      </c>
      <c r="B19" s="10" t="s">
        <v>1727</v>
      </c>
      <c r="C19" s="10" t="s">
        <v>458</v>
      </c>
      <c r="D19" s="10" t="s">
        <v>1732</v>
      </c>
      <c r="E19" s="10" t="s">
        <v>1733</v>
      </c>
      <c r="F19" s="10" t="s">
        <v>1734</v>
      </c>
      <c r="G19" s="12"/>
      <c r="H19" s="12"/>
    </row>
    <row r="20" spans="1:8" ht="26" x14ac:dyDescent="0.35">
      <c r="A20" s="10" t="s">
        <v>1735</v>
      </c>
      <c r="B20" s="10" t="s">
        <v>1727</v>
      </c>
      <c r="C20" s="10" t="s">
        <v>458</v>
      </c>
      <c r="D20" s="10" t="s">
        <v>1736</v>
      </c>
      <c r="E20" s="10" t="s">
        <v>1737</v>
      </c>
      <c r="F20" s="10" t="s">
        <v>1738</v>
      </c>
      <c r="G20" s="12"/>
      <c r="H20" s="12"/>
    </row>
    <row r="21" spans="1:8" ht="26" x14ac:dyDescent="0.35">
      <c r="A21" s="10" t="s">
        <v>1739</v>
      </c>
      <c r="B21" s="10" t="s">
        <v>1727</v>
      </c>
      <c r="C21" s="10" t="s">
        <v>458</v>
      </c>
      <c r="D21" s="10" t="s">
        <v>1740</v>
      </c>
      <c r="E21" s="10" t="s">
        <v>1741</v>
      </c>
      <c r="F21" s="10" t="s">
        <v>1742</v>
      </c>
      <c r="G21" s="12"/>
      <c r="H21" s="12"/>
    </row>
    <row r="22" spans="1:8" ht="26" x14ac:dyDescent="0.35">
      <c r="A22" s="10" t="s">
        <v>1743</v>
      </c>
      <c r="B22" s="10" t="s">
        <v>1727</v>
      </c>
      <c r="C22" s="10" t="s">
        <v>458</v>
      </c>
      <c r="D22" s="10" t="s">
        <v>1744</v>
      </c>
      <c r="E22" s="10" t="s">
        <v>1745</v>
      </c>
      <c r="F22" s="10" t="s">
        <v>1746</v>
      </c>
      <c r="G22" s="12"/>
      <c r="H22" s="12"/>
    </row>
    <row r="23" spans="1:8" ht="26" x14ac:dyDescent="0.35">
      <c r="A23" s="10" t="s">
        <v>1747</v>
      </c>
      <c r="B23" s="10" t="s">
        <v>1727</v>
      </c>
      <c r="C23" s="10" t="s">
        <v>458</v>
      </c>
      <c r="D23" s="10" t="s">
        <v>1748</v>
      </c>
      <c r="E23" s="10" t="s">
        <v>1749</v>
      </c>
      <c r="F23" s="10" t="s">
        <v>1750</v>
      </c>
      <c r="G23" s="12"/>
      <c r="H23" s="12"/>
    </row>
    <row r="24" spans="1:8" ht="26" x14ac:dyDescent="0.35">
      <c r="A24" s="10" t="s">
        <v>1751</v>
      </c>
      <c r="B24" s="10" t="s">
        <v>1727</v>
      </c>
      <c r="C24" s="10" t="s">
        <v>825</v>
      </c>
      <c r="D24" s="10" t="s">
        <v>1752</v>
      </c>
      <c r="E24" s="10" t="s">
        <v>1753</v>
      </c>
      <c r="F24" s="10" t="s">
        <v>1754</v>
      </c>
      <c r="G24" s="12"/>
      <c r="H24" s="12"/>
    </row>
    <row r="25" spans="1:8" ht="39" x14ac:dyDescent="0.35">
      <c r="A25" s="10" t="s">
        <v>1755</v>
      </c>
      <c r="B25" s="10" t="s">
        <v>1727</v>
      </c>
      <c r="C25" s="10" t="s">
        <v>825</v>
      </c>
      <c r="D25" s="10" t="s">
        <v>1756</v>
      </c>
      <c r="E25" s="10" t="s">
        <v>1757</v>
      </c>
      <c r="F25" s="10" t="s">
        <v>1758</v>
      </c>
      <c r="G25" s="12"/>
      <c r="H25" s="12"/>
    </row>
    <row r="26" spans="1:8" ht="26" x14ac:dyDescent="0.35">
      <c r="A26" s="10" t="s">
        <v>1759</v>
      </c>
      <c r="B26" s="10" t="s">
        <v>1727</v>
      </c>
      <c r="C26" s="10" t="s">
        <v>825</v>
      </c>
      <c r="D26" s="10" t="s">
        <v>1760</v>
      </c>
      <c r="E26" s="10" t="s">
        <v>1761</v>
      </c>
      <c r="F26" s="10" t="s">
        <v>1762</v>
      </c>
      <c r="G26" s="12"/>
      <c r="H26" s="12"/>
    </row>
    <row r="27" spans="1:8" x14ac:dyDescent="0.35">
      <c r="A27" s="10" t="s">
        <v>1763</v>
      </c>
      <c r="B27" s="10" t="s">
        <v>1727</v>
      </c>
      <c r="C27" s="10" t="s">
        <v>825</v>
      </c>
      <c r="D27" s="10" t="s">
        <v>1764</v>
      </c>
      <c r="E27" s="10" t="s">
        <v>1765</v>
      </c>
      <c r="F27" s="10" t="s">
        <v>1766</v>
      </c>
      <c r="G27" s="12"/>
      <c r="H27" s="12"/>
    </row>
    <row r="28" spans="1:8" x14ac:dyDescent="0.35">
      <c r="A28" s="10" t="s">
        <v>1767</v>
      </c>
      <c r="B28" s="10" t="s">
        <v>1727</v>
      </c>
      <c r="C28" s="10" t="s">
        <v>825</v>
      </c>
      <c r="D28" s="10" t="s">
        <v>1768</v>
      </c>
      <c r="E28" s="10" t="s">
        <v>1769</v>
      </c>
      <c r="F28" s="10" t="s">
        <v>1770</v>
      </c>
      <c r="G28" s="12"/>
      <c r="H28" s="12"/>
    </row>
    <row r="30" spans="1:8" x14ac:dyDescent="0.35">
      <c r="A30" s="7" t="s">
        <v>1771</v>
      </c>
    </row>
    <row r="31" spans="1:8" x14ac:dyDescent="0.35">
      <c r="A31" s="13" t="s">
        <v>1772</v>
      </c>
      <c r="D31" s="13" t="s">
        <v>1773</v>
      </c>
    </row>
    <row r="32" spans="1:8" x14ac:dyDescent="0.35">
      <c r="A32" s="13" t="s">
        <v>1774</v>
      </c>
      <c r="D32" s="13" t="s">
        <v>1775</v>
      </c>
    </row>
    <row r="33" spans="1:4" x14ac:dyDescent="0.35">
      <c r="A33" s="13" t="s">
        <v>1776</v>
      </c>
      <c r="D33" s="13" t="s">
        <v>1777</v>
      </c>
    </row>
    <row r="34" spans="1:4" x14ac:dyDescent="0.35">
      <c r="A34" s="13" t="s">
        <v>1778</v>
      </c>
      <c r="D34" s="13" t="s">
        <v>1779</v>
      </c>
    </row>
  </sheetData>
  <autoFilter ref="A6:H28"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5"/>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8.6328125" defaultRowHeight="14.5" x14ac:dyDescent="0.35"/>
  <cols>
    <col min="1" max="1" width="22" customWidth="1"/>
    <col min="2" max="2" width="34" customWidth="1"/>
    <col min="3" max="11" width="15" customWidth="1"/>
    <col min="12" max="12" width="14" customWidth="1"/>
    <col min="13" max="13" width="18" customWidth="1"/>
  </cols>
  <sheetData>
    <row r="1" spans="1:13" x14ac:dyDescent="0.35">
      <c r="A1" s="1" t="s">
        <v>0</v>
      </c>
    </row>
    <row r="2" spans="1:13" ht="21" x14ac:dyDescent="0.5">
      <c r="A2" s="2" t="s">
        <v>1780</v>
      </c>
    </row>
    <row r="3" spans="1:13" x14ac:dyDescent="0.35">
      <c r="A3" s="3" t="s">
        <v>1781</v>
      </c>
    </row>
    <row r="4" spans="1:13" x14ac:dyDescent="0.35">
      <c r="A4" s="4" t="s">
        <v>3</v>
      </c>
    </row>
    <row r="6" spans="1:13" ht="42" customHeight="1" x14ac:dyDescent="0.35">
      <c r="A6" s="11" t="s">
        <v>1782</v>
      </c>
      <c r="B6" s="11" t="s">
        <v>1783</v>
      </c>
      <c r="C6" s="11" t="s">
        <v>1784</v>
      </c>
      <c r="D6" s="11" t="s">
        <v>1785</v>
      </c>
      <c r="E6" s="11" t="s">
        <v>1786</v>
      </c>
      <c r="F6" s="11" t="s">
        <v>1787</v>
      </c>
      <c r="G6" s="11" t="s">
        <v>1788</v>
      </c>
      <c r="H6" s="11" t="s">
        <v>1789</v>
      </c>
      <c r="I6" s="11" t="s">
        <v>1790</v>
      </c>
      <c r="J6" s="11" t="s">
        <v>1791</v>
      </c>
      <c r="K6" s="11" t="s">
        <v>1792</v>
      </c>
      <c r="L6" s="11" t="s">
        <v>1793</v>
      </c>
      <c r="M6" s="11" t="s">
        <v>1794</v>
      </c>
    </row>
    <row r="7" spans="1:13" x14ac:dyDescent="0.35">
      <c r="A7" s="12" t="s">
        <v>1795</v>
      </c>
      <c r="B7" s="12"/>
      <c r="C7" s="14"/>
      <c r="D7" s="14"/>
      <c r="E7" s="14"/>
      <c r="F7" s="14"/>
      <c r="G7" s="14"/>
      <c r="H7" s="14"/>
      <c r="I7" s="14"/>
      <c r="J7" s="14"/>
      <c r="K7" s="14">
        <f t="shared" ref="K7:K14" si="0">SUM(C7:J7)</f>
        <v>0</v>
      </c>
      <c r="L7" s="12"/>
      <c r="M7" s="12"/>
    </row>
    <row r="8" spans="1:13" x14ac:dyDescent="0.35">
      <c r="A8" s="12" t="s">
        <v>1796</v>
      </c>
      <c r="B8" s="12"/>
      <c r="C8" s="14"/>
      <c r="D8" s="14"/>
      <c r="E8" s="14"/>
      <c r="F8" s="14"/>
      <c r="G8" s="14"/>
      <c r="H8" s="14"/>
      <c r="I8" s="14"/>
      <c r="J8" s="14"/>
      <c r="K8" s="14">
        <f t="shared" si="0"/>
        <v>0</v>
      </c>
      <c r="L8" s="12"/>
      <c r="M8" s="12"/>
    </row>
    <row r="9" spans="1:13" x14ac:dyDescent="0.35">
      <c r="A9" s="12" t="s">
        <v>1797</v>
      </c>
      <c r="B9" s="12"/>
      <c r="C9" s="14"/>
      <c r="D9" s="14"/>
      <c r="E9" s="14"/>
      <c r="F9" s="14"/>
      <c r="G9" s="14"/>
      <c r="H9" s="14"/>
      <c r="I9" s="14"/>
      <c r="J9" s="14"/>
      <c r="K9" s="14">
        <f t="shared" si="0"/>
        <v>0</v>
      </c>
      <c r="L9" s="12"/>
      <c r="M9" s="12"/>
    </row>
    <row r="10" spans="1:13" x14ac:dyDescent="0.35">
      <c r="A10" s="12" t="s">
        <v>1798</v>
      </c>
      <c r="B10" s="12"/>
      <c r="C10" s="14"/>
      <c r="D10" s="14"/>
      <c r="E10" s="14"/>
      <c r="F10" s="14"/>
      <c r="G10" s="14"/>
      <c r="H10" s="14"/>
      <c r="I10" s="14"/>
      <c r="J10" s="14"/>
      <c r="K10" s="14">
        <f t="shared" si="0"/>
        <v>0</v>
      </c>
      <c r="L10" s="12"/>
      <c r="M10" s="12"/>
    </row>
    <row r="11" spans="1:13" x14ac:dyDescent="0.35">
      <c r="A11" s="12" t="s">
        <v>1799</v>
      </c>
      <c r="B11" s="12"/>
      <c r="C11" s="14"/>
      <c r="D11" s="14"/>
      <c r="E11" s="14"/>
      <c r="F11" s="14"/>
      <c r="G11" s="14"/>
      <c r="H11" s="14"/>
      <c r="I11" s="14"/>
      <c r="J11" s="14"/>
      <c r="K11" s="14">
        <f t="shared" si="0"/>
        <v>0</v>
      </c>
      <c r="L11" s="12"/>
      <c r="M11" s="12"/>
    </row>
    <row r="12" spans="1:13" x14ac:dyDescent="0.35">
      <c r="A12" s="12" t="s">
        <v>1800</v>
      </c>
      <c r="B12" s="12"/>
      <c r="C12" s="14"/>
      <c r="D12" s="14"/>
      <c r="E12" s="14"/>
      <c r="F12" s="14"/>
      <c r="G12" s="14"/>
      <c r="H12" s="14"/>
      <c r="I12" s="14"/>
      <c r="J12" s="14"/>
      <c r="K12" s="14">
        <f t="shared" si="0"/>
        <v>0</v>
      </c>
      <c r="L12" s="12"/>
      <c r="M12" s="12"/>
    </row>
    <row r="13" spans="1:13" x14ac:dyDescent="0.35">
      <c r="A13" s="12" t="s">
        <v>1801</v>
      </c>
      <c r="B13" s="12"/>
      <c r="C13" s="14"/>
      <c r="D13" s="14"/>
      <c r="E13" s="14"/>
      <c r="F13" s="14"/>
      <c r="G13" s="14"/>
      <c r="H13" s="14"/>
      <c r="I13" s="14"/>
      <c r="J13" s="14"/>
      <c r="K13" s="14">
        <f t="shared" si="0"/>
        <v>0</v>
      </c>
      <c r="L13" s="12"/>
      <c r="M13" s="12"/>
    </row>
    <row r="14" spans="1:13" x14ac:dyDescent="0.35">
      <c r="A14" s="12" t="s">
        <v>1802</v>
      </c>
      <c r="B14" s="12"/>
      <c r="C14" s="14"/>
      <c r="D14" s="14"/>
      <c r="E14" s="14"/>
      <c r="F14" s="14"/>
      <c r="G14" s="14"/>
      <c r="H14" s="14"/>
      <c r="I14" s="14"/>
      <c r="J14" s="14"/>
      <c r="K14" s="14">
        <f t="shared" si="0"/>
        <v>0</v>
      </c>
      <c r="L14" s="12"/>
      <c r="M14" s="12"/>
    </row>
    <row r="15" spans="1:13" x14ac:dyDescent="0.35">
      <c r="A15" s="15" t="s">
        <v>1803</v>
      </c>
      <c r="C15" s="16">
        <f t="shared" ref="C15:K15" si="1">SUM(C7:C14)</f>
        <v>0</v>
      </c>
      <c r="D15" s="16">
        <f t="shared" si="1"/>
        <v>0</v>
      </c>
      <c r="E15" s="16">
        <f t="shared" si="1"/>
        <v>0</v>
      </c>
      <c r="F15" s="16">
        <f t="shared" si="1"/>
        <v>0</v>
      </c>
      <c r="G15" s="16">
        <f t="shared" si="1"/>
        <v>0</v>
      </c>
      <c r="H15" s="16">
        <f t="shared" si="1"/>
        <v>0</v>
      </c>
      <c r="I15" s="16">
        <f t="shared" si="1"/>
        <v>0</v>
      </c>
      <c r="J15" s="16">
        <f t="shared" si="1"/>
        <v>0</v>
      </c>
      <c r="K15" s="16">
        <f t="shared" si="1"/>
        <v>0</v>
      </c>
    </row>
  </sheetData>
  <autoFilter ref="A6:M14"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7"/>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8.6328125" defaultRowHeight="14.5" x14ac:dyDescent="0.35"/>
  <cols>
    <col min="1" max="2" width="30" customWidth="1"/>
    <col min="3" max="3" width="16" customWidth="1"/>
    <col min="4" max="4" width="22" customWidth="1"/>
    <col min="5" max="5" width="18" customWidth="1"/>
    <col min="6" max="11" width="13" customWidth="1"/>
    <col min="12" max="12" width="30" customWidth="1"/>
  </cols>
  <sheetData>
    <row r="1" spans="1:12" x14ac:dyDescent="0.35">
      <c r="A1" s="1" t="s">
        <v>0</v>
      </c>
    </row>
    <row r="2" spans="1:12" ht="21" x14ac:dyDescent="0.5">
      <c r="A2" s="2" t="s">
        <v>1804</v>
      </c>
    </row>
    <row r="3" spans="1:12" x14ac:dyDescent="0.35">
      <c r="A3" s="3" t="s">
        <v>1805</v>
      </c>
    </row>
    <row r="4" spans="1:12" x14ac:dyDescent="0.35">
      <c r="A4" s="4" t="s">
        <v>3</v>
      </c>
    </row>
    <row r="6" spans="1:12" ht="42" customHeight="1" x14ac:dyDescent="0.35">
      <c r="A6" s="11" t="s">
        <v>1806</v>
      </c>
      <c r="B6" s="11" t="s">
        <v>40</v>
      </c>
      <c r="C6" s="11" t="s">
        <v>1807</v>
      </c>
      <c r="D6" s="11" t="s">
        <v>1808</v>
      </c>
      <c r="E6" s="11" t="s">
        <v>1809</v>
      </c>
      <c r="F6" s="11" t="s">
        <v>1810</v>
      </c>
      <c r="G6" s="11" t="s">
        <v>1811</v>
      </c>
      <c r="H6" s="11" t="s">
        <v>1812</v>
      </c>
      <c r="I6" s="11" t="s">
        <v>1813</v>
      </c>
      <c r="J6" s="11" t="s">
        <v>1814</v>
      </c>
      <c r="K6" s="11" t="s">
        <v>1815</v>
      </c>
      <c r="L6" s="11" t="s">
        <v>1336</v>
      </c>
    </row>
    <row r="7" spans="1:12" x14ac:dyDescent="0.35">
      <c r="A7" s="12" t="s">
        <v>1816</v>
      </c>
      <c r="B7" s="12" t="s">
        <v>1817</v>
      </c>
      <c r="C7" s="12"/>
      <c r="D7" s="12"/>
      <c r="E7" s="12"/>
      <c r="F7" s="14"/>
      <c r="G7" s="14"/>
      <c r="H7" s="14"/>
      <c r="I7" s="14"/>
      <c r="J7" s="14"/>
      <c r="K7" s="14">
        <f t="shared" ref="K7:K16" si="0">SUM(F7:J7)</f>
        <v>0</v>
      </c>
      <c r="L7" s="12"/>
    </row>
    <row r="8" spans="1:12" x14ac:dyDescent="0.35">
      <c r="A8" s="12" t="s">
        <v>1818</v>
      </c>
      <c r="B8" s="12" t="s">
        <v>1819</v>
      </c>
      <c r="C8" s="12"/>
      <c r="D8" s="12"/>
      <c r="E8" s="12"/>
      <c r="F8" s="14"/>
      <c r="G8" s="14"/>
      <c r="H8" s="14"/>
      <c r="I8" s="14"/>
      <c r="J8" s="14"/>
      <c r="K8" s="14">
        <f t="shared" si="0"/>
        <v>0</v>
      </c>
      <c r="L8" s="12"/>
    </row>
    <row r="9" spans="1:12" x14ac:dyDescent="0.35">
      <c r="A9" s="12" t="s">
        <v>1820</v>
      </c>
      <c r="B9" s="12" t="s">
        <v>1821</v>
      </c>
      <c r="C9" s="12"/>
      <c r="D9" s="12"/>
      <c r="E9" s="12"/>
      <c r="F9" s="14"/>
      <c r="G9" s="14"/>
      <c r="H9" s="14"/>
      <c r="I9" s="14"/>
      <c r="J9" s="14"/>
      <c r="K9" s="14">
        <f t="shared" si="0"/>
        <v>0</v>
      </c>
      <c r="L9" s="12"/>
    </row>
    <row r="10" spans="1:12" x14ac:dyDescent="0.35">
      <c r="A10" s="12" t="s">
        <v>1822</v>
      </c>
      <c r="B10" s="12" t="s">
        <v>1823</v>
      </c>
      <c r="C10" s="12"/>
      <c r="D10" s="12"/>
      <c r="E10" s="12"/>
      <c r="F10" s="14"/>
      <c r="G10" s="14"/>
      <c r="H10" s="14"/>
      <c r="I10" s="14"/>
      <c r="J10" s="14"/>
      <c r="K10" s="14">
        <f t="shared" si="0"/>
        <v>0</v>
      </c>
      <c r="L10" s="12"/>
    </row>
    <row r="11" spans="1:12" ht="26" x14ac:dyDescent="0.35">
      <c r="A11" s="12" t="s">
        <v>1824</v>
      </c>
      <c r="B11" s="12" t="s">
        <v>1825</v>
      </c>
      <c r="C11" s="12"/>
      <c r="D11" s="12"/>
      <c r="E11" s="12"/>
      <c r="F11" s="14"/>
      <c r="G11" s="14"/>
      <c r="H11" s="14"/>
      <c r="I11" s="14"/>
      <c r="J11" s="14"/>
      <c r="K11" s="14">
        <f t="shared" si="0"/>
        <v>0</v>
      </c>
      <c r="L11" s="12"/>
    </row>
    <row r="12" spans="1:12" ht="26" x14ac:dyDescent="0.35">
      <c r="A12" s="12" t="s">
        <v>1826</v>
      </c>
      <c r="B12" s="12" t="s">
        <v>1827</v>
      </c>
      <c r="C12" s="12"/>
      <c r="D12" s="12"/>
      <c r="E12" s="12"/>
      <c r="F12" s="14"/>
      <c r="G12" s="14"/>
      <c r="H12" s="14"/>
      <c r="I12" s="14"/>
      <c r="J12" s="14"/>
      <c r="K12" s="14">
        <f t="shared" si="0"/>
        <v>0</v>
      </c>
      <c r="L12" s="12"/>
    </row>
    <row r="13" spans="1:12" x14ac:dyDescent="0.35">
      <c r="A13" s="12" t="s">
        <v>1828</v>
      </c>
      <c r="B13" s="12" t="s">
        <v>1829</v>
      </c>
      <c r="C13" s="12"/>
      <c r="D13" s="12"/>
      <c r="E13" s="12"/>
      <c r="F13" s="14"/>
      <c r="G13" s="14"/>
      <c r="H13" s="14"/>
      <c r="I13" s="14"/>
      <c r="J13" s="14"/>
      <c r="K13" s="14">
        <f t="shared" si="0"/>
        <v>0</v>
      </c>
      <c r="L13" s="12"/>
    </row>
    <row r="14" spans="1:12" x14ac:dyDescent="0.35">
      <c r="A14" s="12" t="s">
        <v>1830</v>
      </c>
      <c r="B14" s="12" t="s">
        <v>1831</v>
      </c>
      <c r="C14" s="12"/>
      <c r="D14" s="12"/>
      <c r="E14" s="12"/>
      <c r="F14" s="14"/>
      <c r="G14" s="14"/>
      <c r="H14" s="14"/>
      <c r="I14" s="14"/>
      <c r="J14" s="14"/>
      <c r="K14" s="14">
        <f t="shared" si="0"/>
        <v>0</v>
      </c>
      <c r="L14" s="12"/>
    </row>
    <row r="15" spans="1:12" ht="26" x14ac:dyDescent="0.35">
      <c r="A15" s="12" t="s">
        <v>1832</v>
      </c>
      <c r="B15" s="12" t="s">
        <v>1833</v>
      </c>
      <c r="C15" s="12"/>
      <c r="D15" s="12"/>
      <c r="E15" s="12"/>
      <c r="F15" s="14"/>
      <c r="G15" s="14"/>
      <c r="H15" s="14"/>
      <c r="I15" s="14"/>
      <c r="J15" s="14"/>
      <c r="K15" s="14">
        <f t="shared" si="0"/>
        <v>0</v>
      </c>
      <c r="L15" s="12"/>
    </row>
    <row r="16" spans="1:12" x14ac:dyDescent="0.35">
      <c r="A16" s="12" t="s">
        <v>1834</v>
      </c>
      <c r="B16" s="12" t="s">
        <v>1835</v>
      </c>
      <c r="C16" s="12"/>
      <c r="D16" s="12"/>
      <c r="E16" s="12"/>
      <c r="F16" s="14"/>
      <c r="G16" s="14"/>
      <c r="H16" s="14"/>
      <c r="I16" s="14"/>
      <c r="J16" s="14"/>
      <c r="K16" s="14">
        <f t="shared" si="0"/>
        <v>0</v>
      </c>
      <c r="L16" s="12"/>
    </row>
    <row r="17" spans="1:11" x14ac:dyDescent="0.35">
      <c r="A17" s="15" t="s">
        <v>1836</v>
      </c>
      <c r="F17" s="16">
        <f t="shared" ref="F17:K17" si="1">SUM(F7:F16)</f>
        <v>0</v>
      </c>
      <c r="G17" s="16">
        <f t="shared" si="1"/>
        <v>0</v>
      </c>
      <c r="H17" s="16">
        <f t="shared" si="1"/>
        <v>0</v>
      </c>
      <c r="I17" s="16">
        <f t="shared" si="1"/>
        <v>0</v>
      </c>
      <c r="J17" s="16">
        <f t="shared" si="1"/>
        <v>0</v>
      </c>
      <c r="K17" s="16">
        <f t="shared" si="1"/>
        <v>0</v>
      </c>
    </row>
  </sheetData>
  <autoFilter ref="A6:L16" xr:uid="{00000000-0009-0000-0000-000007000000}"/>
  <dataValidations count="2">
    <dataValidation type="list" allowBlank="1" sqref="C7:C16" xr:uid="{00000000-0002-0000-0700-000000000000}">
      <formula1>"Fixed,Variable,Usage-based"</formula1>
      <formula2>0</formula2>
    </dataValidation>
    <dataValidation type="list" allowBlank="1" sqref="E7:E16" xr:uid="{00000000-0002-0000-0700-000001000000}">
      <formula1>"Vendor,Third party"</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2"/>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8.6328125" defaultRowHeight="14.5" x14ac:dyDescent="0.35"/>
  <cols>
    <col min="1" max="1" width="28" customWidth="1"/>
    <col min="2" max="4" width="18" customWidth="1"/>
    <col min="5" max="7" width="14" customWidth="1"/>
    <col min="8" max="8" width="30" customWidth="1"/>
  </cols>
  <sheetData>
    <row r="1" spans="1:8" x14ac:dyDescent="0.35">
      <c r="A1" s="1" t="s">
        <v>0</v>
      </c>
    </row>
    <row r="2" spans="1:8" ht="21" x14ac:dyDescent="0.5">
      <c r="A2" s="2" t="s">
        <v>1837</v>
      </c>
    </row>
    <row r="3" spans="1:8" x14ac:dyDescent="0.35">
      <c r="A3" s="3" t="s">
        <v>1838</v>
      </c>
    </row>
    <row r="4" spans="1:8" x14ac:dyDescent="0.35">
      <c r="A4" s="4" t="s">
        <v>3</v>
      </c>
    </row>
    <row r="6" spans="1:8" ht="42" customHeight="1" x14ac:dyDescent="0.35">
      <c r="A6" s="11" t="s">
        <v>1839</v>
      </c>
      <c r="B6" s="11" t="s">
        <v>1840</v>
      </c>
      <c r="C6" s="11" t="s">
        <v>1841</v>
      </c>
      <c r="D6" s="11" t="s">
        <v>1842</v>
      </c>
      <c r="E6" s="11" t="s">
        <v>1843</v>
      </c>
      <c r="F6" s="11" t="s">
        <v>1844</v>
      </c>
      <c r="G6" s="11" t="s">
        <v>1845</v>
      </c>
      <c r="H6" s="11" t="s">
        <v>1846</v>
      </c>
    </row>
    <row r="7" spans="1:8" x14ac:dyDescent="0.35">
      <c r="A7" s="12" t="s">
        <v>1847</v>
      </c>
      <c r="B7" s="12"/>
      <c r="C7" s="12"/>
      <c r="D7" s="12"/>
      <c r="E7" s="12"/>
      <c r="F7" s="12"/>
      <c r="G7" s="12">
        <f t="shared" ref="G7:G21" si="0">E7*F7</f>
        <v>0</v>
      </c>
      <c r="H7" s="12"/>
    </row>
    <row r="8" spans="1:8" x14ac:dyDescent="0.35">
      <c r="A8" s="12" t="s">
        <v>1848</v>
      </c>
      <c r="B8" s="12"/>
      <c r="C8" s="12"/>
      <c r="D8" s="12"/>
      <c r="E8" s="12"/>
      <c r="F8" s="12"/>
      <c r="G8" s="12">
        <f t="shared" si="0"/>
        <v>0</v>
      </c>
      <c r="H8" s="12"/>
    </row>
    <row r="9" spans="1:8" x14ac:dyDescent="0.35">
      <c r="A9" s="12" t="s">
        <v>1849</v>
      </c>
      <c r="B9" s="12"/>
      <c r="C9" s="12"/>
      <c r="D9" s="12"/>
      <c r="E9" s="12"/>
      <c r="F9" s="12"/>
      <c r="G9" s="12">
        <f t="shared" si="0"/>
        <v>0</v>
      </c>
      <c r="H9" s="12"/>
    </row>
    <row r="10" spans="1:8" x14ac:dyDescent="0.35">
      <c r="A10" s="12" t="s">
        <v>1850</v>
      </c>
      <c r="B10" s="12"/>
      <c r="C10" s="12"/>
      <c r="D10" s="12"/>
      <c r="E10" s="12"/>
      <c r="F10" s="12"/>
      <c r="G10" s="12">
        <f t="shared" si="0"/>
        <v>0</v>
      </c>
      <c r="H10" s="12"/>
    </row>
    <row r="11" spans="1:8" x14ac:dyDescent="0.35">
      <c r="A11" s="12" t="s">
        <v>1851</v>
      </c>
      <c r="B11" s="12"/>
      <c r="C11" s="12"/>
      <c r="D11" s="12"/>
      <c r="E11" s="12"/>
      <c r="F11" s="12"/>
      <c r="G11" s="12">
        <f t="shared" si="0"/>
        <v>0</v>
      </c>
      <c r="H11" s="12"/>
    </row>
    <row r="12" spans="1:8" x14ac:dyDescent="0.35">
      <c r="A12" s="12" t="s">
        <v>1852</v>
      </c>
      <c r="B12" s="12"/>
      <c r="C12" s="12"/>
      <c r="D12" s="12"/>
      <c r="E12" s="12"/>
      <c r="F12" s="12"/>
      <c r="G12" s="12">
        <f t="shared" si="0"/>
        <v>0</v>
      </c>
      <c r="H12" s="12"/>
    </row>
    <row r="13" spans="1:8" x14ac:dyDescent="0.35">
      <c r="A13" s="12" t="s">
        <v>1853</v>
      </c>
      <c r="B13" s="12"/>
      <c r="C13" s="12"/>
      <c r="D13" s="12"/>
      <c r="E13" s="12"/>
      <c r="F13" s="12"/>
      <c r="G13" s="12">
        <f t="shared" si="0"/>
        <v>0</v>
      </c>
      <c r="H13" s="12"/>
    </row>
    <row r="14" spans="1:8" x14ac:dyDescent="0.35">
      <c r="A14" s="12" t="s">
        <v>1854</v>
      </c>
      <c r="B14" s="12"/>
      <c r="C14" s="12"/>
      <c r="D14" s="12"/>
      <c r="E14" s="12"/>
      <c r="F14" s="12"/>
      <c r="G14" s="12">
        <f t="shared" si="0"/>
        <v>0</v>
      </c>
      <c r="H14" s="12"/>
    </row>
    <row r="15" spans="1:8" x14ac:dyDescent="0.35">
      <c r="A15" s="12" t="s">
        <v>1855</v>
      </c>
      <c r="B15" s="12"/>
      <c r="C15" s="12"/>
      <c r="D15" s="12"/>
      <c r="E15" s="12"/>
      <c r="F15" s="12"/>
      <c r="G15" s="12">
        <f t="shared" si="0"/>
        <v>0</v>
      </c>
      <c r="H15" s="12"/>
    </row>
    <row r="16" spans="1:8" x14ac:dyDescent="0.35">
      <c r="A16" s="12" t="s">
        <v>1856</v>
      </c>
      <c r="B16" s="12"/>
      <c r="C16" s="12"/>
      <c r="D16" s="12"/>
      <c r="E16" s="12"/>
      <c r="F16" s="12"/>
      <c r="G16" s="12">
        <f t="shared" si="0"/>
        <v>0</v>
      </c>
      <c r="H16" s="12"/>
    </row>
    <row r="17" spans="1:8" x14ac:dyDescent="0.35">
      <c r="A17" s="12" t="s">
        <v>1857</v>
      </c>
      <c r="B17" s="12"/>
      <c r="C17" s="12"/>
      <c r="D17" s="12"/>
      <c r="E17" s="12"/>
      <c r="F17" s="12"/>
      <c r="G17" s="12">
        <f t="shared" si="0"/>
        <v>0</v>
      </c>
      <c r="H17" s="12"/>
    </row>
    <row r="18" spans="1:8" x14ac:dyDescent="0.35">
      <c r="A18" s="12" t="s">
        <v>1858</v>
      </c>
      <c r="B18" s="12"/>
      <c r="C18" s="12"/>
      <c r="D18" s="12"/>
      <c r="E18" s="12"/>
      <c r="F18" s="12"/>
      <c r="G18" s="12">
        <f t="shared" si="0"/>
        <v>0</v>
      </c>
      <c r="H18" s="12"/>
    </row>
    <row r="19" spans="1:8" x14ac:dyDescent="0.35">
      <c r="A19" s="12" t="s">
        <v>1859</v>
      </c>
      <c r="B19" s="12"/>
      <c r="C19" s="12"/>
      <c r="D19" s="12"/>
      <c r="E19" s="12"/>
      <c r="F19" s="12"/>
      <c r="G19" s="12">
        <f t="shared" si="0"/>
        <v>0</v>
      </c>
      <c r="H19" s="12"/>
    </row>
    <row r="20" spans="1:8" x14ac:dyDescent="0.35">
      <c r="A20" s="12" t="s">
        <v>1860</v>
      </c>
      <c r="B20" s="12"/>
      <c r="C20" s="12"/>
      <c r="D20" s="12"/>
      <c r="E20" s="12"/>
      <c r="F20" s="12"/>
      <c r="G20" s="12">
        <f t="shared" si="0"/>
        <v>0</v>
      </c>
      <c r="H20" s="12"/>
    </row>
    <row r="21" spans="1:8" x14ac:dyDescent="0.35">
      <c r="A21" s="12" t="s">
        <v>1861</v>
      </c>
      <c r="B21" s="12"/>
      <c r="C21" s="12"/>
      <c r="D21" s="12"/>
      <c r="E21" s="12"/>
      <c r="F21" s="12"/>
      <c r="G21" s="12">
        <f t="shared" si="0"/>
        <v>0</v>
      </c>
      <c r="H21" s="12"/>
    </row>
    <row r="22" spans="1:8" x14ac:dyDescent="0.35">
      <c r="A22" s="15" t="s">
        <v>1815</v>
      </c>
      <c r="E22">
        <f>SUM(E7:E21)</f>
        <v>0</v>
      </c>
      <c r="G22">
        <f>SUM(G7:G21)</f>
        <v>0</v>
      </c>
    </row>
  </sheetData>
  <autoFilter ref="A6:H21" xr:uid="{00000000-0009-0000-0000-000008000000}"/>
  <dataValidations count="1">
    <dataValidation type="list" allowBlank="1" sqref="C7:C21" xr:uid="{00000000-0002-0000-0800-000000000000}">
      <formula1>"Employee,Subcontractor"</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6"/>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8.6328125" defaultRowHeight="14.5" x14ac:dyDescent="0.35"/>
  <cols>
    <col min="1" max="1" width="28" customWidth="1"/>
    <col min="2" max="2" width="40" customWidth="1"/>
    <col min="3" max="4" width="16" customWidth="1"/>
    <col min="5" max="5" width="14" customWidth="1"/>
    <col min="6" max="6" width="34" customWidth="1"/>
    <col min="7" max="7" width="28" customWidth="1"/>
  </cols>
  <sheetData>
    <row r="1" spans="1:7" x14ac:dyDescent="0.35">
      <c r="A1" s="1" t="s">
        <v>0</v>
      </c>
    </row>
    <row r="2" spans="1:7" ht="21" x14ac:dyDescent="0.5">
      <c r="A2" s="2" t="s">
        <v>1862</v>
      </c>
    </row>
    <row r="3" spans="1:7" x14ac:dyDescent="0.35">
      <c r="A3" s="3" t="s">
        <v>1863</v>
      </c>
    </row>
    <row r="4" spans="1:7" x14ac:dyDescent="0.35">
      <c r="A4" s="4" t="s">
        <v>3</v>
      </c>
    </row>
    <row r="6" spans="1:7" ht="42" customHeight="1" x14ac:dyDescent="0.35">
      <c r="A6" s="11" t="s">
        <v>1864</v>
      </c>
      <c r="B6" s="11" t="s">
        <v>1865</v>
      </c>
      <c r="C6" s="11" t="s">
        <v>1866</v>
      </c>
      <c r="D6" s="11" t="s">
        <v>1867</v>
      </c>
      <c r="E6" s="11" t="s">
        <v>1868</v>
      </c>
      <c r="F6" s="11" t="s">
        <v>1869</v>
      </c>
      <c r="G6" s="11" t="s">
        <v>1870</v>
      </c>
    </row>
    <row r="7" spans="1:7" x14ac:dyDescent="0.35">
      <c r="A7" s="12" t="s">
        <v>1871</v>
      </c>
      <c r="B7" s="12"/>
      <c r="C7" s="12"/>
      <c r="D7" s="12"/>
      <c r="E7" s="12"/>
      <c r="F7" s="12"/>
      <c r="G7" s="12"/>
    </row>
    <row r="8" spans="1:7" x14ac:dyDescent="0.35">
      <c r="A8" s="12" t="s">
        <v>1872</v>
      </c>
      <c r="B8" s="12"/>
      <c r="C8" s="12"/>
      <c r="D8" s="12"/>
      <c r="E8" s="12"/>
      <c r="F8" s="12"/>
      <c r="G8" s="12"/>
    </row>
    <row r="9" spans="1:7" x14ac:dyDescent="0.35">
      <c r="A9" s="12" t="s">
        <v>1873</v>
      </c>
      <c r="B9" s="12"/>
      <c r="C9" s="12"/>
      <c r="D9" s="12"/>
      <c r="E9" s="12"/>
      <c r="F9" s="12"/>
      <c r="G9" s="12"/>
    </row>
    <row r="10" spans="1:7" x14ac:dyDescent="0.35">
      <c r="A10" s="12" t="s">
        <v>1874</v>
      </c>
      <c r="B10" s="12"/>
      <c r="C10" s="12"/>
      <c r="D10" s="12"/>
      <c r="E10" s="12"/>
      <c r="F10" s="12"/>
      <c r="G10" s="12"/>
    </row>
    <row r="11" spans="1:7" x14ac:dyDescent="0.35">
      <c r="A11" s="12" t="s">
        <v>1875</v>
      </c>
      <c r="B11" s="12"/>
      <c r="C11" s="12"/>
      <c r="D11" s="12"/>
      <c r="E11" s="12"/>
      <c r="F11" s="12"/>
      <c r="G11" s="12"/>
    </row>
    <row r="12" spans="1:7" x14ac:dyDescent="0.35">
      <c r="A12" s="12" t="s">
        <v>1876</v>
      </c>
      <c r="B12" s="12"/>
      <c r="C12" s="12"/>
      <c r="D12" s="12"/>
      <c r="E12" s="12"/>
      <c r="F12" s="12"/>
      <c r="G12" s="12"/>
    </row>
    <row r="13" spans="1:7" x14ac:dyDescent="0.35">
      <c r="A13" s="12" t="s">
        <v>1877</v>
      </c>
      <c r="B13" s="12"/>
      <c r="C13" s="12"/>
      <c r="D13" s="12"/>
      <c r="E13" s="12"/>
      <c r="F13" s="12"/>
      <c r="G13" s="12"/>
    </row>
    <row r="14" spans="1:7" x14ac:dyDescent="0.35">
      <c r="A14" s="12" t="s">
        <v>1878</v>
      </c>
      <c r="B14" s="12"/>
      <c r="C14" s="12"/>
      <c r="D14" s="12"/>
      <c r="E14" s="12"/>
      <c r="F14" s="12"/>
      <c r="G14" s="12"/>
    </row>
    <row r="15" spans="1:7" x14ac:dyDescent="0.35">
      <c r="A15" s="12" t="s">
        <v>1879</v>
      </c>
      <c r="B15" s="12"/>
      <c r="C15" s="12"/>
      <c r="D15" s="12"/>
      <c r="E15" s="12"/>
      <c r="F15" s="12"/>
      <c r="G15" s="12"/>
    </row>
    <row r="16" spans="1:7" x14ac:dyDescent="0.35">
      <c r="A16" s="12" t="s">
        <v>1880</v>
      </c>
      <c r="B16" s="12"/>
      <c r="C16" s="12"/>
      <c r="D16" s="12"/>
      <c r="E16" s="12"/>
      <c r="F16" s="12"/>
      <c r="G16" s="12"/>
    </row>
  </sheetData>
  <autoFilter ref="A6:G16" xr:uid="{00000000-0009-0000-0000-000009000000}"/>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1"/>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8.6328125" defaultRowHeight="14.5" x14ac:dyDescent="0.35"/>
  <cols>
    <col min="1" max="1" width="60" customWidth="1"/>
    <col min="2" max="2" width="18" customWidth="1"/>
    <col min="3" max="3" width="50" customWidth="1"/>
  </cols>
  <sheetData>
    <row r="1" spans="1:3" x14ac:dyDescent="0.35">
      <c r="A1" s="1" t="s">
        <v>0</v>
      </c>
    </row>
    <row r="2" spans="1:3" ht="21" x14ac:dyDescent="0.5">
      <c r="A2" s="2" t="s">
        <v>1881</v>
      </c>
    </row>
    <row r="3" spans="1:3" x14ac:dyDescent="0.35">
      <c r="A3" s="3" t="s">
        <v>1882</v>
      </c>
    </row>
    <row r="4" spans="1:3" x14ac:dyDescent="0.35">
      <c r="A4" s="4" t="s">
        <v>3</v>
      </c>
    </row>
    <row r="6" spans="1:3" ht="42" customHeight="1" x14ac:dyDescent="0.35">
      <c r="A6" s="9" t="s">
        <v>1678</v>
      </c>
      <c r="B6" s="9" t="s">
        <v>1883</v>
      </c>
      <c r="C6" s="9" t="s">
        <v>1846</v>
      </c>
    </row>
    <row r="7" spans="1:3" x14ac:dyDescent="0.35">
      <c r="A7" s="10" t="s">
        <v>1884</v>
      </c>
      <c r="B7" s="17">
        <f>'C1 One-time Costs'!K15</f>
        <v>0</v>
      </c>
      <c r="C7" s="10"/>
    </row>
    <row r="8" spans="1:3" x14ac:dyDescent="0.35">
      <c r="A8" s="10" t="s">
        <v>1885</v>
      </c>
      <c r="B8" s="17">
        <f>'C2 Recurring Costs'!K17</f>
        <v>0</v>
      </c>
      <c r="C8" s="10" t="s">
        <v>1886</v>
      </c>
    </row>
    <row r="9" spans="1:3" x14ac:dyDescent="0.35">
      <c r="A9" s="10" t="s">
        <v>1887</v>
      </c>
      <c r="B9" s="17">
        <f>B7+B8</f>
        <v>0</v>
      </c>
      <c r="C9" s="10"/>
    </row>
    <row r="10" spans="1:3" x14ac:dyDescent="0.35">
      <c r="A10" s="10" t="s">
        <v>1888</v>
      </c>
      <c r="B10" s="17">
        <f>SUM('Optional Capabilities'!L7:L77)</f>
        <v>0</v>
      </c>
      <c r="C10" s="10"/>
    </row>
    <row r="11" spans="1:3" x14ac:dyDescent="0.35">
      <c r="A11" s="10" t="s">
        <v>1889</v>
      </c>
      <c r="B11" s="17">
        <f>SUM('Optional Capabilities'!M7:M77)</f>
        <v>0</v>
      </c>
      <c r="C11" s="10"/>
    </row>
  </sheetData>
  <autoFilter ref="A6:C11" xr:uid="{00000000-0009-0000-0000-00000A00000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6"/>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8.6328125" defaultRowHeight="14.5" x14ac:dyDescent="0.35"/>
  <cols>
    <col min="1" max="1" width="6" customWidth="1"/>
    <col min="2" max="2" width="18" customWidth="1"/>
    <col min="3" max="3" width="60" customWidth="1"/>
    <col min="4" max="4" width="24" customWidth="1"/>
    <col min="5" max="5" width="44" customWidth="1"/>
  </cols>
  <sheetData>
    <row r="1" spans="1:5" x14ac:dyDescent="0.35">
      <c r="A1" s="1" t="s">
        <v>0</v>
      </c>
    </row>
    <row r="2" spans="1:5" ht="21" x14ac:dyDescent="0.5">
      <c r="A2" s="2" t="s">
        <v>1890</v>
      </c>
    </row>
    <row r="3" spans="1:5" x14ac:dyDescent="0.35">
      <c r="A3" s="3" t="s">
        <v>1891</v>
      </c>
    </row>
    <row r="4" spans="1:5" x14ac:dyDescent="0.35">
      <c r="A4" s="4" t="s">
        <v>3</v>
      </c>
    </row>
    <row r="6" spans="1:5" ht="42" customHeight="1" x14ac:dyDescent="0.35">
      <c r="A6" s="9" t="s">
        <v>1892</v>
      </c>
      <c r="B6" s="11" t="s">
        <v>1677</v>
      </c>
      <c r="C6" s="11" t="s">
        <v>1893</v>
      </c>
      <c r="D6" s="11" t="s">
        <v>1894</v>
      </c>
      <c r="E6" s="11" t="s">
        <v>1895</v>
      </c>
    </row>
    <row r="7" spans="1:5" x14ac:dyDescent="0.35">
      <c r="A7" s="10">
        <v>1</v>
      </c>
      <c r="B7" s="12"/>
      <c r="C7" s="12"/>
      <c r="D7" s="12"/>
      <c r="E7" s="12"/>
    </row>
    <row r="8" spans="1:5" x14ac:dyDescent="0.35">
      <c r="A8" s="10">
        <v>2</v>
      </c>
      <c r="B8" s="12"/>
      <c r="C8" s="12"/>
      <c r="D8" s="12"/>
      <c r="E8" s="12"/>
    </row>
    <row r="9" spans="1:5" x14ac:dyDescent="0.35">
      <c r="A9" s="10">
        <v>3</v>
      </c>
      <c r="B9" s="12"/>
      <c r="C9" s="12"/>
      <c r="D9" s="12"/>
      <c r="E9" s="12"/>
    </row>
    <row r="10" spans="1:5" x14ac:dyDescent="0.35">
      <c r="A10" s="10">
        <v>4</v>
      </c>
      <c r="B10" s="12"/>
      <c r="C10" s="12"/>
      <c r="D10" s="12"/>
      <c r="E10" s="12"/>
    </row>
    <row r="11" spans="1:5" x14ac:dyDescent="0.35">
      <c r="A11" s="10">
        <v>5</v>
      </c>
      <c r="B11" s="12"/>
      <c r="C11" s="12"/>
      <c r="D11" s="12"/>
      <c r="E11" s="12"/>
    </row>
    <row r="12" spans="1:5" x14ac:dyDescent="0.35">
      <c r="A12" s="10">
        <v>6</v>
      </c>
      <c r="B12" s="12"/>
      <c r="C12" s="12"/>
      <c r="D12" s="12"/>
      <c r="E12" s="12"/>
    </row>
    <row r="13" spans="1:5" x14ac:dyDescent="0.35">
      <c r="A13" s="10">
        <v>7</v>
      </c>
      <c r="B13" s="12"/>
      <c r="C13" s="12"/>
      <c r="D13" s="12"/>
      <c r="E13" s="12"/>
    </row>
    <row r="14" spans="1:5" x14ac:dyDescent="0.35">
      <c r="A14" s="10">
        <v>8</v>
      </c>
      <c r="B14" s="12"/>
      <c r="C14" s="12"/>
      <c r="D14" s="12"/>
      <c r="E14" s="12"/>
    </row>
    <row r="15" spans="1:5" x14ac:dyDescent="0.35">
      <c r="A15" s="10">
        <v>9</v>
      </c>
      <c r="B15" s="12"/>
      <c r="C15" s="12"/>
      <c r="D15" s="12"/>
      <c r="E15" s="12"/>
    </row>
    <row r="16" spans="1:5" x14ac:dyDescent="0.35">
      <c r="A16" s="10">
        <v>10</v>
      </c>
      <c r="B16" s="12"/>
      <c r="C16" s="12"/>
      <c r="D16" s="12"/>
      <c r="E16" s="12"/>
    </row>
    <row r="17" spans="1:5" x14ac:dyDescent="0.35">
      <c r="A17" s="10">
        <v>11</v>
      </c>
      <c r="B17" s="12"/>
      <c r="C17" s="12"/>
      <c r="D17" s="12"/>
      <c r="E17" s="12"/>
    </row>
    <row r="18" spans="1:5" x14ac:dyDescent="0.35">
      <c r="A18" s="10">
        <v>12</v>
      </c>
      <c r="B18" s="12"/>
      <c r="C18" s="12"/>
      <c r="D18" s="12"/>
      <c r="E18" s="12"/>
    </row>
    <row r="19" spans="1:5" x14ac:dyDescent="0.35">
      <c r="A19" s="10">
        <v>13</v>
      </c>
      <c r="B19" s="12"/>
      <c r="C19" s="12"/>
      <c r="D19" s="12"/>
      <c r="E19" s="12"/>
    </row>
    <row r="20" spans="1:5" x14ac:dyDescent="0.35">
      <c r="A20" s="10">
        <v>14</v>
      </c>
      <c r="B20" s="12"/>
      <c r="C20" s="12"/>
      <c r="D20" s="12"/>
      <c r="E20" s="12"/>
    </row>
    <row r="21" spans="1:5" x14ac:dyDescent="0.35">
      <c r="A21" s="10">
        <v>15</v>
      </c>
      <c r="B21" s="12"/>
      <c r="C21" s="12"/>
      <c r="D21" s="12"/>
      <c r="E21" s="12"/>
    </row>
    <row r="22" spans="1:5" x14ac:dyDescent="0.35">
      <c r="A22" s="10">
        <v>16</v>
      </c>
      <c r="B22" s="12"/>
      <c r="C22" s="12"/>
      <c r="D22" s="12"/>
      <c r="E22" s="12"/>
    </row>
    <row r="23" spans="1:5" x14ac:dyDescent="0.35">
      <c r="A23" s="10">
        <v>17</v>
      </c>
      <c r="B23" s="12"/>
      <c r="C23" s="12"/>
      <c r="D23" s="12"/>
      <c r="E23" s="12"/>
    </row>
    <row r="24" spans="1:5" x14ac:dyDescent="0.35">
      <c r="A24" s="10">
        <v>18</v>
      </c>
      <c r="B24" s="12"/>
      <c r="C24" s="12"/>
      <c r="D24" s="12"/>
      <c r="E24" s="12"/>
    </row>
    <row r="25" spans="1:5" x14ac:dyDescent="0.35">
      <c r="A25" s="10">
        <v>19</v>
      </c>
      <c r="B25" s="12"/>
      <c r="C25" s="12"/>
      <c r="D25" s="12"/>
      <c r="E25" s="12"/>
    </row>
    <row r="26" spans="1:5" x14ac:dyDescent="0.35">
      <c r="A26" s="10">
        <v>20</v>
      </c>
      <c r="B26" s="12"/>
      <c r="C26" s="12"/>
      <c r="D26" s="12"/>
      <c r="E26" s="12"/>
    </row>
    <row r="27" spans="1:5" x14ac:dyDescent="0.35">
      <c r="A27" s="10">
        <v>21</v>
      </c>
      <c r="B27" s="12"/>
      <c r="C27" s="12"/>
      <c r="D27" s="12"/>
      <c r="E27" s="12"/>
    </row>
    <row r="28" spans="1:5" x14ac:dyDescent="0.35">
      <c r="A28" s="10">
        <v>22</v>
      </c>
      <c r="B28" s="12"/>
      <c r="C28" s="12"/>
      <c r="D28" s="12"/>
      <c r="E28" s="12"/>
    </row>
    <row r="29" spans="1:5" x14ac:dyDescent="0.35">
      <c r="A29" s="10">
        <v>23</v>
      </c>
      <c r="B29" s="12"/>
      <c r="C29" s="12"/>
      <c r="D29" s="12"/>
      <c r="E29" s="12"/>
    </row>
    <row r="30" spans="1:5" x14ac:dyDescent="0.35">
      <c r="A30" s="10">
        <v>24</v>
      </c>
      <c r="B30" s="12"/>
      <c r="C30" s="12"/>
      <c r="D30" s="12"/>
      <c r="E30" s="12"/>
    </row>
    <row r="31" spans="1:5" x14ac:dyDescent="0.35">
      <c r="A31" s="10">
        <v>25</v>
      </c>
      <c r="B31" s="12"/>
      <c r="C31" s="12"/>
      <c r="D31" s="12"/>
      <c r="E31" s="12"/>
    </row>
    <row r="32" spans="1:5" x14ac:dyDescent="0.35">
      <c r="A32" s="10">
        <v>26</v>
      </c>
      <c r="B32" s="12"/>
      <c r="C32" s="12"/>
      <c r="D32" s="12"/>
      <c r="E32" s="12"/>
    </row>
    <row r="33" spans="1:5" x14ac:dyDescent="0.35">
      <c r="A33" s="10">
        <v>27</v>
      </c>
      <c r="B33" s="12"/>
      <c r="C33" s="12"/>
      <c r="D33" s="12"/>
      <c r="E33" s="12"/>
    </row>
    <row r="34" spans="1:5" x14ac:dyDescent="0.35">
      <c r="A34" s="10">
        <v>28</v>
      </c>
      <c r="B34" s="12"/>
      <c r="C34" s="12"/>
      <c r="D34" s="12"/>
      <c r="E34" s="12"/>
    </row>
    <row r="35" spans="1:5" x14ac:dyDescent="0.35">
      <c r="A35" s="10">
        <v>29</v>
      </c>
      <c r="B35" s="12"/>
      <c r="C35" s="12"/>
      <c r="D35" s="12"/>
      <c r="E35" s="12"/>
    </row>
    <row r="36" spans="1:5" x14ac:dyDescent="0.35">
      <c r="A36" s="10">
        <v>30</v>
      </c>
      <c r="B36" s="12"/>
      <c r="C36" s="12"/>
      <c r="D36" s="12"/>
      <c r="E36" s="12"/>
    </row>
  </sheetData>
  <autoFilter ref="A6:E36" xr:uid="{00000000-0009-0000-0000-00000B000000}"/>
  <dataValidations count="1">
    <dataValidation type="list" allowBlank="1" sqref="B7:B36" xr:uid="{00000000-0002-0000-0B00-000000000000}">
      <formula1>"Assumption,Dependency,Exclusion"</formula1>
      <formula2>0</formula2>
    </dataValidation>
  </dataValidation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A084171640E245AB836FEB857D8773" ma:contentTypeVersion="3" ma:contentTypeDescription="Create a new document." ma:contentTypeScope="" ma:versionID="7f9688336eb0d02a1cc175ee86765bd8">
  <xsd:schema xmlns:xsd="http://www.w3.org/2001/XMLSchema" xmlns:xs="http://www.w3.org/2001/XMLSchema" xmlns:p="http://schemas.microsoft.com/office/2006/metadata/properties" xmlns:ns2="8927e53b-72d2-4a20-b4f6-8e0c4d418da7" targetNamespace="http://schemas.microsoft.com/office/2006/metadata/properties" ma:root="true" ma:fieldsID="653ba4af5a9af063ffed33fe975c576d" ns2:_="">
    <xsd:import namespace="8927e53b-72d2-4a20-b4f6-8e0c4d418da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27e53b-72d2-4a20-b4f6-8e0c4d418d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D663242-AA09-45BB-9EA0-F94BF6E75BB5}"/>
</file>

<file path=customXml/itemProps2.xml><?xml version="1.0" encoding="utf-8"?>
<ds:datastoreItem xmlns:ds="http://schemas.openxmlformats.org/officeDocument/2006/customXml" ds:itemID="{B71C230C-65F7-4A1C-8B31-B3C61BE99FFB}"/>
</file>

<file path=customXml/itemProps3.xml><?xml version="1.0" encoding="utf-8"?>
<ds:datastoreItem xmlns:ds="http://schemas.openxmlformats.org/officeDocument/2006/customXml" ds:itemID="{5E15437B-82CF-47EB-A12C-D98607B893FA}"/>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Response Summary</vt:lpstr>
      <vt:lpstr>Required Requirements</vt:lpstr>
      <vt:lpstr>NFR Confirmation</vt:lpstr>
      <vt:lpstr>Optional Capabilities</vt:lpstr>
      <vt:lpstr>Future &amp; Clarifications</vt:lpstr>
      <vt:lpstr>C1 One-time Costs</vt:lpstr>
      <vt:lpstr>C2 Recurring Costs</vt:lpstr>
      <vt:lpstr>C3 Staffing &amp; Rates</vt:lpstr>
      <vt:lpstr>C4 Usage Drivers</vt:lpstr>
      <vt:lpstr>C5 TCO Summary</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Sanjay Martis</cp:lastModifiedBy>
  <cp:revision>0</cp:revision>
  <dcterms:created xsi:type="dcterms:W3CDTF">2026-10-02T18:26:48Z</dcterms:created>
  <dcterms:modified xsi:type="dcterms:W3CDTF">2026-10-12T14:38:03Z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0x01010016A084171640E245AB836FEB857D8773</vt:lpwstr>
  </property>
</Properties>
</file>